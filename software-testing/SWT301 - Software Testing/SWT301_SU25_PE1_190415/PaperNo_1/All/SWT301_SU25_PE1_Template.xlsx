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xr:revisionPtr revIDLastSave="0" documentId="13_ncr:1_{CCBCFC28-229A-4BB9-BA62-E6BDEB403654}" xr6:coauthVersionLast="47" xr6:coauthVersionMax="47" xr10:uidLastSave="{00000000-0000-0000-0000-000000000000}"/>
  <bookViews>
    <workbookView xWindow="2688" yWindow="420" windowWidth="14388" windowHeight="12540" activeTab="1" xr2:uid="{00000000-000D-0000-FFFF-FFFF00000000}"/>
  </bookViews>
  <sheets>
    <sheet name="Q1" sheetId="2" r:id="rId1"/>
    <sheet name="Q2" sheetId="3" r:id="rId2"/>
    <sheet name="Q3"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9" i="3" l="1"/>
  <c r="D38" i="3"/>
  <c r="D37" i="3"/>
  <c r="D36" i="3"/>
  <c r="D35" i="3"/>
  <c r="D34" i="3"/>
  <c r="D33" i="3"/>
  <c r="D32" i="3"/>
  <c r="D31" i="3"/>
  <c r="E4" i="4"/>
  <c r="D4" i="4"/>
  <c r="E3" i="4"/>
  <c r="D3" i="4"/>
  <c r="E2" i="4"/>
  <c r="D2" i="4"/>
  <c r="O6" i="3"/>
  <c r="N6" i="3"/>
  <c r="M6" i="3"/>
  <c r="L6" i="3"/>
  <c r="C6" i="3"/>
  <c r="A6" i="3"/>
  <c r="F6"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3" authorId="0" shapeId="0" xr:uid="{00000000-0006-0000-0100-000001000000}">
      <text>
        <r>
          <rPr>
            <b/>
            <sz val="9"/>
            <color indexed="81"/>
            <rFont val="Tahoma"/>
            <family val="2"/>
          </rPr>
          <t>Author:</t>
        </r>
        <r>
          <rPr>
            <sz val="9"/>
            <color indexed="81"/>
            <rFont val="Tahoma"/>
            <family val="2"/>
          </rPr>
          <t xml:space="preserve">
Input number line of code</t>
        </r>
      </text>
    </comment>
    <comment ref="A4" authorId="0" shapeId="0" xr:uid="{00000000-0006-0000-0100-000002000000}">
      <text>
        <r>
          <rPr>
            <sz val="8"/>
            <color indexed="81"/>
            <rFont val="Tahoma"/>
            <family val="2"/>
          </rPr>
          <t xml:space="preserve">Not mandatory
</t>
        </r>
      </text>
    </comment>
    <comment ref="C9" authorId="0" shapeId="0" xr:uid="{00000000-0006-0000-0100-000003000000}">
      <text>
        <r>
          <rPr>
            <sz val="8"/>
            <color indexed="81"/>
            <rFont val="Tahoma"/>
            <family val="2"/>
          </rPr>
          <t>Not mandatory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5" authorId="0" shapeId="0" xr:uid="{00000000-0006-0000-0200-000001000000}">
      <text>
        <r>
          <rPr>
            <b/>
            <sz val="8"/>
            <color indexed="8"/>
            <rFont val="Times New Roman"/>
            <family val="1"/>
          </rPr>
          <t xml:space="preserve">Pass
Fail
Untested
N/A
</t>
        </r>
      </text>
    </comment>
  </commentList>
</comments>
</file>

<file path=xl/sharedStrings.xml><?xml version="1.0" encoding="utf-8"?>
<sst xmlns="http://schemas.openxmlformats.org/spreadsheetml/2006/main" count="193" uniqueCount="113">
  <si>
    <t>Issue No</t>
  </si>
  <si>
    <t>Description</t>
  </si>
  <si>
    <t>Line</t>
  </si>
  <si>
    <t>Detail</t>
  </si>
  <si>
    <t>Function Code</t>
  </si>
  <si>
    <t>Function Name</t>
  </si>
  <si>
    <t>Created By</t>
  </si>
  <si>
    <t>Executed By</t>
  </si>
  <si>
    <t>Lines  of code</t>
  </si>
  <si>
    <t>Lack of test cases</t>
  </si>
  <si>
    <t>Test requirement</t>
  </si>
  <si>
    <t>Passed</t>
  </si>
  <si>
    <t>Failed</t>
  </si>
  <si>
    <t>Untested</t>
  </si>
  <si>
    <t>N/A/B</t>
  </si>
  <si>
    <t>Total Test Cases</t>
  </si>
  <si>
    <t>UTCID01</t>
  </si>
  <si>
    <t>UTCID02</t>
  </si>
  <si>
    <t>UTCID03</t>
  </si>
  <si>
    <t>Condition</t>
  </si>
  <si>
    <t xml:space="preserve">Precondition </t>
  </si>
  <si>
    <t>Input condition</t>
  </si>
  <si>
    <t>O</t>
  </si>
  <si>
    <t>Confirm</t>
  </si>
  <si>
    <t>Return</t>
  </si>
  <si>
    <t>Exception</t>
  </si>
  <si>
    <t>Log message</t>
  </si>
  <si>
    <t>Result</t>
  </si>
  <si>
    <t>Type(N : Normal, A : Abnormal, B : Boundary)</t>
  </si>
  <si>
    <t>N</t>
  </si>
  <si>
    <t>Passed/Failed</t>
  </si>
  <si>
    <t>Executed Date</t>
  </si>
  <si>
    <t>Defect ID</t>
  </si>
  <si>
    <t>Test case</t>
  </si>
  <si>
    <t>Module Code</t>
  </si>
  <si>
    <t>Tester</t>
  </si>
  <si>
    <t>ID</t>
  </si>
  <si>
    <t>Test Case Description</t>
  </si>
  <si>
    <t>Pre -Condition</t>
  </si>
  <si>
    <t>Test Case Procedure</t>
  </si>
  <si>
    <t>Expected Output</t>
  </si>
  <si>
    <t>Test date
(dd/mm/yyyy)</t>
  </si>
  <si>
    <t>Note</t>
  </si>
  <si>
    <t>TC001</t>
  </si>
  <si>
    <t>Untest</t>
  </si>
  <si>
    <t>A[0].length = B.length</t>
  </si>
  <si>
    <t>error for using assignment instead of comparison</t>
  </si>
  <si>
    <t>wrong loops due to unincreasing position of arrays</t>
  </si>
  <si>
    <t>initialize &amp; assign value into array</t>
  </si>
  <si>
    <t>int[][] C = new int [m][p];</t>
  </si>
  <si>
    <t>for(int i = 0; i &lt; m; i){</t>
  </si>
  <si>
    <t>int m = A.length;</t>
  </si>
  <si>
    <t>wrong initialization for a specific row in  
2-dimentional array</t>
  </si>
  <si>
    <t>size</t>
  </si>
  <si>
    <t>""</t>
  </si>
  <si>
    <t>distance</t>
  </si>
  <si>
    <t>method</t>
  </si>
  <si>
    <t>"air"</t>
  </si>
  <si>
    <t>"road"</t>
  </si>
  <si>
    <t>"water"</t>
  </si>
  <si>
    <t>UTCID04</t>
  </si>
  <si>
    <t>UTCID05</t>
  </si>
  <si>
    <t>UTCID06</t>
  </si>
  <si>
    <t>UTCID07</t>
  </si>
  <si>
    <t>UTCID08</t>
  </si>
  <si>
    <t>UTCID09</t>
  </si>
  <si>
    <t>UTCID10</t>
  </si>
  <si>
    <t>UTCID11</t>
  </si>
  <si>
    <t>"small"</t>
  </si>
  <si>
    <t>"medium"</t>
  </si>
  <si>
    <t>"large"</t>
  </si>
  <si>
    <t>IllegalArgumentException</t>
  </si>
  <si>
    <t>"Invalid  Koi fish size"</t>
  </si>
  <si>
    <t>"Invalid shipping method"</t>
  </si>
  <si>
    <t>A</t>
  </si>
  <si>
    <t>Võ Minh Toàn</t>
  </si>
  <si>
    <t>calShipFee</t>
  </si>
  <si>
    <t>calculateShippingFee</t>
  </si>
  <si>
    <t>TC002</t>
  </si>
  <si>
    <t>TC003</t>
  </si>
  <si>
    <t>TC004</t>
  </si>
  <si>
    <t>TC005</t>
  </si>
  <si>
    <t>TC006</t>
  </si>
  <si>
    <t>TC007</t>
  </si>
  <si>
    <t>TC008</t>
  </si>
  <si>
    <t>TC009</t>
  </si>
  <si>
    <t>TC010</t>
  </si>
  <si>
    <t>TC011</t>
  </si>
  <si>
    <t>TC012</t>
  </si>
  <si>
    <t>User log into the system and use the calculate function</t>
  </si>
  <si>
    <t>1. Input total fish weight = -1
2. Input water temparature = -1
3. Input feeding rate = -1</t>
  </si>
  <si>
    <t>1. Input total fish weight = 0
2. Input water temparature = 0
3. Input feeding rate = 0</t>
  </si>
  <si>
    <t>1. Leave the total fish weight blank
2. Leave the water temparature blank
3. Leave the feeding rate blank</t>
  </si>
  <si>
    <t>1. Input total fish weight = 1
2. Input water temparature = 9
3. Input feeding rate = 1</t>
  </si>
  <si>
    <t xml:space="preserve">The system should display the error message "Total Fish Weight (kg) is number &gt; 0"
The system should display the error message "Water Temparature is number &gt; 0"
The system should display the error message "Feeding rate (%) is number &gt; 0"
</t>
  </si>
  <si>
    <t>The system should display the error message "Total Fish Weight (kg) is required"
The system should display the error message "Water temparature is required"
The system should display the error message "Feedingrate is required"</t>
  </si>
  <si>
    <t>The system should display the error message "Excess amount of food given to fish daily"</t>
  </si>
  <si>
    <t>1. Input total fish weight = 1
2. Input water temparature = 10
3. Input feeding rate = 0.4</t>
  </si>
  <si>
    <t>The system should display the error message "Daily food is not enough for fish"</t>
  </si>
  <si>
    <t>1. Input total fish weight = 1
2. Input water temparature = 9
3. Input feeding rate = 0</t>
  </si>
  <si>
    <t>The system should display the message "Metabolism slows down; fish cannot digest well."
The system should display the message "Total daily food amount of Koi pond: "0kg." "</t>
  </si>
  <si>
    <t>1. Input total fish weight = 1
2. Input water temparature = 10
3. Input feeding rate = 0.5</t>
  </si>
  <si>
    <t>The system should display the message "Feed minimal, easily digestible food (wheat germ, algea)."
The system should display the message "Total daily food amount of Koi pond: "0.005kg." "</t>
  </si>
  <si>
    <t>The system should display the message "Reduce protein, focus on digestible food."
The system should display the message "Total daily food amount of Koi pond: "0.01kg." "</t>
  </si>
  <si>
    <t>The system should display the message "Growth stage, increase protein."
The system should display the message "Total daily food amount of Koi pond: "0.01kg." "</t>
  </si>
  <si>
    <t>The system should display the message "Faster growth phase, requires high protein"
The system should display the message "Total daily food amount of Koi pond: "0.01kg." "</t>
  </si>
  <si>
    <t>The system should display the message "Fish eat less due to lower oxygen levels"
The system should display the message "Total daily food amount of Koi pond: "0.01kg." "</t>
  </si>
  <si>
    <t>1. Input total fish weight = 1
2. Input water temparature = 31
3. Input feeding rate = 3</t>
  </si>
  <si>
    <t>1. Input total fish weight = 1
2. Input water temparature = 25
3. Input feeding rate = 4</t>
  </si>
  <si>
    <t>1. Input total fish weight = 1
2. Input water temparature = 20
3. Input feeding rate = 2.5</t>
  </si>
  <si>
    <t>1. Input total fish weight = 1
2. Input water temparature = 14
3. Input feeding rate = 1</t>
  </si>
  <si>
    <t>1. Input total fish weight = 1
2. Input water temparature = 15
3. Input feeding rate = 2</t>
  </si>
  <si>
    <t>Vo Minh Toan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</si>
</sst>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mm/dd"/>
  </numFmts>
  <fonts count="30">
    <font>
      <sz val="11"/>
      <color theme="1"/>
      <name val="Arial"/>
      <family val="2"/>
      <scheme val="minor"/>
    </font>
    <font>
      <b/>
      <sz val="11"/>
      <color theme="1"/>
      <name val="Arial"/>
      <family val="2"/>
      <scheme val="minor"/>
    </font>
    <font>
      <sz val="11"/>
      <name val="ＭＳ Ｐゴシック"/>
      <family val="3"/>
      <charset val="128"/>
    </font>
    <font>
      <b/>
      <sz val="8"/>
      <name val="Tahoma"/>
      <family val="2"/>
    </font>
    <font>
      <b/>
      <sz val="8"/>
      <color rgb="FF0070C0"/>
      <name val="Tahoma"/>
      <family val="2"/>
    </font>
    <font>
      <i/>
      <sz val="8"/>
      <color theme="4"/>
      <name val="Tahoma"/>
      <family val="2"/>
    </font>
    <font>
      <sz val="8"/>
      <color theme="4"/>
      <name val="Tahoma"/>
      <family val="2"/>
    </font>
    <font>
      <sz val="8"/>
      <name val="Tahoma"/>
      <family val="2"/>
    </font>
    <font>
      <i/>
      <sz val="8"/>
      <name val="Tahoma"/>
      <family val="2"/>
    </font>
    <font>
      <b/>
      <sz val="10"/>
      <color indexed="9"/>
      <name val="Tahoma"/>
      <family val="2"/>
    </font>
    <font>
      <sz val="8"/>
      <color indexed="9"/>
      <name val="Tahoma"/>
      <family val="2"/>
    </font>
    <font>
      <b/>
      <sz val="8"/>
      <color theme="1"/>
      <name val="Tahoma"/>
      <family val="2"/>
    </font>
    <font>
      <b/>
      <sz val="8"/>
      <color indexed="9"/>
      <name val="Tahoma"/>
      <family val="2"/>
    </font>
    <font>
      <b/>
      <sz val="12"/>
      <name val="Tahoma"/>
      <family val="2"/>
    </font>
    <font>
      <b/>
      <sz val="8"/>
      <color theme="4"/>
      <name val="Tahoma"/>
      <family val="2"/>
    </font>
    <font>
      <sz val="11"/>
      <name val="Tahoma"/>
      <family val="2"/>
    </font>
    <font>
      <sz val="8"/>
      <color indexed="17"/>
      <name val="Tahoma"/>
      <family val="2"/>
    </font>
    <font>
      <b/>
      <sz val="9"/>
      <color indexed="81"/>
      <name val="Tahoma"/>
      <family val="2"/>
    </font>
    <font>
      <sz val="9"/>
      <color indexed="81"/>
      <name val="Tahoma"/>
      <family val="2"/>
    </font>
    <font>
      <sz val="8"/>
      <color indexed="81"/>
      <name val="Tahoma"/>
      <family val="2"/>
    </font>
    <font>
      <b/>
      <sz val="16"/>
      <name val="Tahoma"/>
      <family val="2"/>
    </font>
    <font>
      <sz val="10"/>
      <color theme="1"/>
      <name val="Arial"/>
      <family val="2"/>
      <scheme val="minor"/>
    </font>
    <font>
      <u/>
      <sz val="11"/>
      <color theme="10"/>
      <name val="Arial"/>
      <family val="2"/>
      <scheme val="minor"/>
    </font>
    <font>
      <b/>
      <u/>
      <sz val="10"/>
      <color indexed="12"/>
      <name val="Tahoma"/>
      <family val="2"/>
    </font>
    <font>
      <sz val="10"/>
      <name val="Tahoma"/>
      <family val="2"/>
    </font>
    <font>
      <b/>
      <sz val="10"/>
      <name val="Tahoma"/>
      <family val="2"/>
    </font>
    <font>
      <sz val="10"/>
      <color rgb="FF0070C0"/>
      <name val="Tahoma"/>
      <family val="2"/>
    </font>
    <font>
      <b/>
      <sz val="8"/>
      <color indexed="8"/>
      <name val="Times New Roman"/>
      <family val="1"/>
    </font>
    <font>
      <sz val="11"/>
      <name val="Arial"/>
      <family val="2"/>
      <scheme val="minor"/>
    </font>
    <font>
      <sz val="8"/>
      <name val="Arial"/>
      <family val="2"/>
      <scheme val="minor"/>
    </font>
  </fonts>
  <fills count="10">
    <fill>
      <patternFill patternType="none"/>
    </fill>
    <fill>
      <patternFill patternType="gray125"/>
    </fill>
    <fill>
      <patternFill patternType="solid">
        <fgColor theme="0" tint="-0.249977111117893"/>
        <bgColor indexed="64"/>
      </patternFill>
    </fill>
    <fill>
      <patternFill patternType="solid">
        <fgColor theme="0" tint="-0.249977111117893"/>
        <bgColor indexed="26"/>
      </patternFill>
    </fill>
    <fill>
      <patternFill patternType="solid">
        <fgColor indexed="9"/>
        <bgColor indexed="26"/>
      </patternFill>
    </fill>
    <fill>
      <patternFill patternType="solid">
        <fgColor theme="0" tint="-0.249977111117893"/>
        <bgColor indexed="32"/>
      </patternFill>
    </fill>
    <fill>
      <patternFill patternType="solid">
        <fgColor indexed="9"/>
        <bgColor indexed="64"/>
      </patternFill>
    </fill>
    <fill>
      <patternFill patternType="solid">
        <fgColor theme="0"/>
        <bgColor indexed="26"/>
      </patternFill>
    </fill>
    <fill>
      <patternFill patternType="solid">
        <fgColor theme="0"/>
        <bgColor indexed="64"/>
      </patternFill>
    </fill>
    <fill>
      <patternFill patternType="solid">
        <fgColor theme="4" tint="0.39997558519241921"/>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medium">
        <color indexed="8"/>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8"/>
      </right>
      <top style="medium">
        <color indexed="64"/>
      </top>
      <bottom style="thin">
        <color indexed="64"/>
      </bottom>
      <diagonal/>
    </border>
    <border>
      <left style="medium">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64"/>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8"/>
      </right>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64"/>
      </left>
      <right/>
      <top style="thin">
        <color indexed="8"/>
      </top>
      <bottom style="thin">
        <color indexed="8"/>
      </bottom>
      <diagonal/>
    </border>
    <border>
      <left/>
      <right style="medium">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bottom style="thin">
        <color indexed="8"/>
      </bottom>
      <diagonal/>
    </border>
    <border>
      <left/>
      <right style="thin">
        <color indexed="64"/>
      </right>
      <top style="thin">
        <color indexed="8"/>
      </top>
      <bottom style="thin">
        <color indexed="8"/>
      </bottom>
      <diagonal/>
    </border>
    <border>
      <left/>
      <right style="medium">
        <color indexed="64"/>
      </right>
      <top style="thin">
        <color indexed="8"/>
      </top>
      <bottom style="thin">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right style="thin">
        <color indexed="64"/>
      </right>
      <top style="thin">
        <color indexed="8"/>
      </top>
      <bottom style="medium">
        <color indexed="8"/>
      </bottom>
      <diagonal/>
    </border>
    <border>
      <left style="thin">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bottom style="thin">
        <color indexed="64"/>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diagonal/>
    </border>
    <border>
      <left/>
      <right style="thin">
        <color indexed="64"/>
      </right>
      <top/>
      <bottom/>
      <diagonal/>
    </border>
    <border>
      <left style="thin">
        <color indexed="64"/>
      </left>
      <right style="medium">
        <color indexed="64"/>
      </right>
      <top style="thin">
        <color indexed="64"/>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indexed="8"/>
      </left>
      <right style="hair">
        <color indexed="8"/>
      </right>
      <top style="hair">
        <color indexed="8"/>
      </top>
      <bottom style="hair">
        <color indexed="8"/>
      </bottom>
      <diagonal/>
    </border>
    <border>
      <left style="hair">
        <color indexed="8"/>
      </left>
      <right style="hair">
        <color indexed="8"/>
      </right>
      <top style="hair">
        <color indexed="8"/>
      </top>
      <bottom/>
      <diagonal/>
    </border>
  </borders>
  <cellStyleXfs count="4">
    <xf numFmtId="0" fontId="0" fillId="0" borderId="0"/>
    <xf numFmtId="0" fontId="2" fillId="0" borderId="0"/>
    <xf numFmtId="0" fontId="2" fillId="0" borderId="0"/>
    <xf numFmtId="0" fontId="22" fillId="0" borderId="0" applyNumberFormat="0" applyFill="0" applyBorder="0" applyAlignment="0" applyProtection="0"/>
  </cellStyleXfs>
  <cellXfs count="167">
    <xf numFmtId="0" fontId="0" fillId="0" borderId="0" xfId="0"/>
    <xf numFmtId="0" fontId="1" fillId="2" borderId="1" xfId="0" applyFont="1" applyFill="1" applyBorder="1" applyAlignment="1">
      <alignment horizontal="center"/>
    </xf>
    <xf numFmtId="0" fontId="3" fillId="0" borderId="0" xfId="1" applyFont="1"/>
    <xf numFmtId="0" fontId="4" fillId="0" borderId="0" xfId="1" applyFont="1"/>
    <xf numFmtId="0" fontId="7" fillId="0" borderId="0" xfId="1" applyFont="1"/>
    <xf numFmtId="0" fontId="7" fillId="0" borderId="0" xfId="1" applyFont="1" applyAlignment="1">
      <alignment horizontal="center"/>
    </xf>
    <xf numFmtId="0" fontId="8" fillId="4" borderId="12" xfId="2" applyFont="1" applyFill="1" applyBorder="1" applyAlignment="1">
      <alignment wrapText="1"/>
    </xf>
    <xf numFmtId="0" fontId="8" fillId="4" borderId="17" xfId="2" applyFont="1" applyFill="1" applyBorder="1" applyAlignment="1">
      <alignment wrapText="1"/>
    </xf>
    <xf numFmtId="0" fontId="8" fillId="4" borderId="19" xfId="2" applyFont="1" applyFill="1" applyBorder="1" applyAlignment="1">
      <alignment horizontal="left" wrapText="1"/>
    </xf>
    <xf numFmtId="0" fontId="7" fillId="3" borderId="31" xfId="1" applyFont="1" applyFill="1" applyBorder="1" applyAlignment="1">
      <alignment horizontal="center" vertical="center"/>
    </xf>
    <xf numFmtId="0" fontId="7" fillId="0" borderId="33" xfId="1" applyFont="1" applyBorder="1"/>
    <xf numFmtId="0" fontId="3" fillId="0" borderId="0" xfId="1" applyFont="1" applyAlignment="1">
      <alignment horizontal="left"/>
    </xf>
    <xf numFmtId="0" fontId="7" fillId="0" borderId="0" xfId="1" applyFont="1" applyAlignment="1">
      <alignment horizontal="right"/>
    </xf>
    <xf numFmtId="0" fontId="10" fillId="2" borderId="35" xfId="1" applyFont="1" applyFill="1" applyBorder="1"/>
    <xf numFmtId="0" fontId="11" fillId="2" borderId="36" xfId="1" applyFont="1" applyFill="1" applyBorder="1" applyAlignment="1">
      <alignment vertical="top" textRotation="180"/>
    </xf>
    <xf numFmtId="0" fontId="12" fillId="2" borderId="36" xfId="1" applyFont="1" applyFill="1" applyBorder="1" applyAlignment="1">
      <alignment vertical="top" textRotation="180"/>
    </xf>
    <xf numFmtId="0" fontId="12" fillId="2" borderId="37" xfId="1" applyFont="1" applyFill="1" applyBorder="1" applyAlignment="1">
      <alignment vertical="top" textRotation="180"/>
    </xf>
    <xf numFmtId="49" fontId="7" fillId="0" borderId="0" xfId="1" applyNumberFormat="1" applyFont="1" applyAlignment="1">
      <alignment horizontal="center"/>
    </xf>
    <xf numFmtId="0" fontId="11" fillId="2" borderId="38" xfId="1" applyFont="1" applyFill="1" applyBorder="1" applyAlignment="1">
      <alignment vertical="center"/>
    </xf>
    <xf numFmtId="0" fontId="3" fillId="6" borderId="39" xfId="1" applyFont="1" applyFill="1" applyBorder="1" applyAlignment="1">
      <alignment horizontal="left" vertical="top"/>
    </xf>
    <xf numFmtId="0" fontId="7" fillId="6" borderId="3" xfId="1" applyFont="1" applyFill="1" applyBorder="1" applyAlignment="1">
      <alignment horizontal="center" vertical="top"/>
    </xf>
    <xf numFmtId="0" fontId="7" fillId="6" borderId="5" xfId="1" applyFont="1" applyFill="1" applyBorder="1" applyAlignment="1">
      <alignment horizontal="right" vertical="top"/>
    </xf>
    <xf numFmtId="0" fontId="13" fillId="0" borderId="41" xfId="1" applyFont="1" applyBorder="1" applyAlignment="1">
      <alignment horizontal="center"/>
    </xf>
    <xf numFmtId="0" fontId="13" fillId="0" borderId="42" xfId="1" applyFont="1" applyBorder="1" applyAlignment="1">
      <alignment horizontal="center"/>
    </xf>
    <xf numFmtId="0" fontId="11" fillId="2" borderId="43" xfId="1" applyFont="1" applyFill="1" applyBorder="1" applyAlignment="1">
      <alignment vertical="center"/>
    </xf>
    <xf numFmtId="0" fontId="3" fillId="6" borderId="15" xfId="1" applyFont="1" applyFill="1" applyBorder="1" applyAlignment="1">
      <alignment horizontal="left" vertical="top"/>
    </xf>
    <xf numFmtId="0" fontId="7" fillId="6" borderId="15" xfId="1" applyFont="1" applyFill="1" applyBorder="1" applyAlignment="1">
      <alignment horizontal="center" vertical="top"/>
    </xf>
    <xf numFmtId="0" fontId="6" fillId="6" borderId="16" xfId="1" applyFont="1" applyFill="1" applyBorder="1" applyAlignment="1">
      <alignment horizontal="right" vertical="top"/>
    </xf>
    <xf numFmtId="0" fontId="13" fillId="0" borderId="1" xfId="1" applyFont="1" applyBorder="1" applyAlignment="1">
      <alignment horizontal="center"/>
    </xf>
    <xf numFmtId="0" fontId="13" fillId="0" borderId="45" xfId="1" applyFont="1" applyBorder="1" applyAlignment="1">
      <alignment horizontal="center"/>
    </xf>
    <xf numFmtId="0" fontId="6" fillId="0" borderId="44" xfId="1" applyFont="1" applyBorder="1" applyAlignment="1">
      <alignment vertical="top"/>
    </xf>
    <xf numFmtId="0" fontId="14" fillId="6" borderId="15" xfId="1" applyFont="1" applyFill="1" applyBorder="1" applyAlignment="1">
      <alignment horizontal="left" vertical="top"/>
    </xf>
    <xf numFmtId="0" fontId="3" fillId="0" borderId="0" xfId="1" applyFont="1" applyAlignment="1">
      <alignment horizontal="center"/>
    </xf>
    <xf numFmtId="0" fontId="7" fillId="6" borderId="16" xfId="1" applyFont="1" applyFill="1" applyBorder="1" applyAlignment="1">
      <alignment horizontal="right" vertical="top"/>
    </xf>
    <xf numFmtId="0" fontId="3" fillId="6" borderId="47" xfId="1" applyFont="1" applyFill="1" applyBorder="1" applyAlignment="1">
      <alignment horizontal="left" vertical="top"/>
    </xf>
    <xf numFmtId="0" fontId="11" fillId="2" borderId="48" xfId="1" applyFont="1" applyFill="1" applyBorder="1" applyAlignment="1">
      <alignment vertical="center"/>
    </xf>
    <xf numFmtId="0" fontId="3" fillId="6" borderId="49" xfId="1" applyFont="1" applyFill="1" applyBorder="1" applyAlignment="1">
      <alignment horizontal="left" vertical="top"/>
    </xf>
    <xf numFmtId="0" fontId="7" fillId="6" borderId="50" xfId="1" applyFont="1" applyFill="1" applyBorder="1" applyAlignment="1">
      <alignment horizontal="center" vertical="top"/>
    </xf>
    <xf numFmtId="0" fontId="7" fillId="6" borderId="51" xfId="1" applyFont="1" applyFill="1" applyBorder="1" applyAlignment="1">
      <alignment horizontal="right" vertical="top"/>
    </xf>
    <xf numFmtId="0" fontId="13" fillId="0" borderId="52" xfId="1" applyFont="1" applyBorder="1" applyAlignment="1">
      <alignment horizontal="center"/>
    </xf>
    <xf numFmtId="0" fontId="13" fillId="0" borderId="53" xfId="1" applyFont="1" applyBorder="1" applyAlignment="1">
      <alignment horizontal="center"/>
    </xf>
    <xf numFmtId="0" fontId="11" fillId="2" borderId="38" xfId="1" applyFont="1" applyFill="1" applyBorder="1" applyAlignment="1">
      <alignment vertical="top"/>
    </xf>
    <xf numFmtId="0" fontId="3" fillId="6" borderId="54" xfId="1" applyFont="1" applyFill="1" applyBorder="1"/>
    <xf numFmtId="0" fontId="3" fillId="6" borderId="3" xfId="1" applyFont="1" applyFill="1" applyBorder="1"/>
    <xf numFmtId="0" fontId="7" fillId="6" borderId="5" xfId="1" applyFont="1" applyFill="1" applyBorder="1" applyAlignment="1">
      <alignment horizontal="right"/>
    </xf>
    <xf numFmtId="0" fontId="13" fillId="0" borderId="55" xfId="1" applyFont="1" applyBorder="1" applyAlignment="1">
      <alignment horizontal="center"/>
    </xf>
    <xf numFmtId="0" fontId="13" fillId="0" borderId="56" xfId="1" applyFont="1" applyBorder="1" applyAlignment="1">
      <alignment horizontal="center"/>
    </xf>
    <xf numFmtId="0" fontId="11" fillId="2" borderId="43" xfId="1" applyFont="1" applyFill="1" applyBorder="1" applyAlignment="1">
      <alignment vertical="top"/>
    </xf>
    <xf numFmtId="0" fontId="3" fillId="6" borderId="47" xfId="1" applyFont="1" applyFill="1" applyBorder="1"/>
    <xf numFmtId="0" fontId="7" fillId="6" borderId="15" xfId="1" applyFont="1" applyFill="1" applyBorder="1"/>
    <xf numFmtId="0" fontId="15" fillId="6" borderId="15" xfId="1" applyFont="1" applyFill="1" applyBorder="1"/>
    <xf numFmtId="0" fontId="7" fillId="6" borderId="16" xfId="1" applyFont="1" applyFill="1" applyBorder="1" applyAlignment="1">
      <alignment horizontal="right"/>
    </xf>
    <xf numFmtId="0" fontId="11" fillId="2" borderId="48" xfId="1" applyFont="1" applyFill="1" applyBorder="1" applyAlignment="1">
      <alignment vertical="top"/>
    </xf>
    <xf numFmtId="0" fontId="3" fillId="6" borderId="57" xfId="1" applyFont="1" applyFill="1" applyBorder="1"/>
    <xf numFmtId="0" fontId="7" fillId="6" borderId="58" xfId="1" applyFont="1" applyFill="1" applyBorder="1"/>
    <xf numFmtId="0" fontId="13" fillId="0" borderId="60" xfId="1" applyFont="1" applyBorder="1" applyAlignment="1">
      <alignment horizontal="center"/>
    </xf>
    <xf numFmtId="0" fontId="13" fillId="0" borderId="61" xfId="1" applyFont="1" applyBorder="1" applyAlignment="1">
      <alignment horizontal="center"/>
    </xf>
    <xf numFmtId="0" fontId="7" fillId="0" borderId="41" xfId="1" applyFont="1" applyBorder="1" applyAlignment="1">
      <alignment horizontal="left"/>
    </xf>
    <xf numFmtId="0" fontId="7" fillId="0" borderId="41" xfId="1" applyFont="1" applyBorder="1" applyAlignment="1">
      <alignment horizontal="center"/>
    </xf>
    <xf numFmtId="0" fontId="7" fillId="0" borderId="42" xfId="1" applyFont="1" applyBorder="1" applyAlignment="1">
      <alignment horizontal="center"/>
    </xf>
    <xf numFmtId="0" fontId="16" fillId="0" borderId="1" xfId="1" applyFont="1" applyBorder="1" applyAlignment="1">
      <alignment horizontal="left"/>
    </xf>
    <xf numFmtId="0" fontId="7" fillId="0" borderId="1" xfId="1" applyFont="1" applyBorder="1" applyAlignment="1">
      <alignment horizontal="center"/>
    </xf>
    <xf numFmtId="0" fontId="7" fillId="0" borderId="45" xfId="1" applyFont="1" applyBorder="1" applyAlignment="1">
      <alignment horizontal="center"/>
    </xf>
    <xf numFmtId="0" fontId="7" fillId="0" borderId="1" xfId="1" applyFont="1" applyBorder="1"/>
    <xf numFmtId="165" fontId="7" fillId="0" borderId="1" xfId="1" applyNumberFormat="1" applyFont="1" applyBorder="1" applyAlignment="1">
      <alignment vertical="top" textRotation="255"/>
    </xf>
    <xf numFmtId="165" fontId="7" fillId="0" borderId="45" xfId="1" applyNumberFormat="1" applyFont="1" applyBorder="1" applyAlignment="1">
      <alignment vertical="top" textRotation="255"/>
    </xf>
    <xf numFmtId="0" fontId="7" fillId="0" borderId="60" xfId="1" applyFont="1" applyBorder="1"/>
    <xf numFmtId="0" fontId="7" fillId="0" borderId="60" xfId="1" applyFont="1" applyBorder="1" applyAlignment="1">
      <alignment textRotation="255"/>
    </xf>
    <xf numFmtId="0" fontId="7" fillId="0" borderId="61" xfId="1" applyFont="1" applyBorder="1" applyAlignment="1">
      <alignment textRotation="255"/>
    </xf>
    <xf numFmtId="0" fontId="12" fillId="0" borderId="0" xfId="1" applyFont="1" applyAlignment="1">
      <alignment vertical="top"/>
    </xf>
    <xf numFmtId="0" fontId="7" fillId="2" borderId="0" xfId="1" applyFont="1" applyFill="1"/>
    <xf numFmtId="0" fontId="3" fillId="2" borderId="0" xfId="1" applyFont="1" applyFill="1" applyAlignment="1">
      <alignment horizontal="left"/>
    </xf>
    <xf numFmtId="0" fontId="7" fillId="0" borderId="0" xfId="0" applyFont="1"/>
    <xf numFmtId="0" fontId="21" fillId="0" borderId="0" xfId="0" applyFont="1"/>
    <xf numFmtId="0" fontId="23" fillId="0" borderId="62" xfId="3" applyFont="1" applyFill="1" applyBorder="1" applyAlignment="1">
      <alignment horizontal="left" vertical="top" wrapText="1"/>
    </xf>
    <xf numFmtId="0" fontId="24" fillId="0" borderId="62" xfId="0" applyFont="1" applyBorder="1" applyAlignment="1">
      <alignment horizontal="left" vertical="top" wrapText="1"/>
    </xf>
    <xf numFmtId="0" fontId="24" fillId="0" borderId="62" xfId="0" applyFont="1" applyBorder="1" applyAlignment="1">
      <alignment vertical="top" wrapText="1"/>
    </xf>
    <xf numFmtId="0" fontId="24" fillId="0" borderId="0" xfId="0" applyFont="1"/>
    <xf numFmtId="0" fontId="25" fillId="0" borderId="62" xfId="2" applyFont="1" applyBorder="1" applyAlignment="1">
      <alignment horizontal="left" vertical="top" wrapText="1"/>
    </xf>
    <xf numFmtId="0" fontId="26" fillId="0" borderId="63" xfId="2" applyFont="1" applyBorder="1" applyAlignment="1">
      <alignment horizontal="left" vertical="top" wrapText="1"/>
    </xf>
    <xf numFmtId="0" fontId="24" fillId="0" borderId="62" xfId="2" applyFont="1" applyBorder="1" applyAlignment="1">
      <alignment horizontal="left" vertical="top" wrapText="1"/>
    </xf>
    <xf numFmtId="0" fontId="25" fillId="0" borderId="63" xfId="2" applyFont="1" applyBorder="1" applyAlignment="1">
      <alignment horizontal="left" vertical="top" wrapText="1"/>
    </xf>
    <xf numFmtId="0" fontId="24" fillId="0" borderId="63" xfId="0" applyFont="1" applyBorder="1" applyAlignment="1">
      <alignment horizontal="left" vertical="top" wrapText="1"/>
    </xf>
    <xf numFmtId="2" fontId="24" fillId="0" borderId="63" xfId="0" applyNumberFormat="1" applyFont="1" applyBorder="1" applyAlignment="1">
      <alignment vertical="top" wrapText="1"/>
    </xf>
    <xf numFmtId="0" fontId="3" fillId="5" borderId="1" xfId="2" applyFont="1" applyFill="1" applyBorder="1" applyAlignment="1">
      <alignment horizontal="center" vertical="center" wrapText="1"/>
    </xf>
    <xf numFmtId="0" fontId="7" fillId="8" borderId="1" xfId="0" applyFont="1" applyFill="1" applyBorder="1" applyAlignment="1">
      <alignment horizontal="left" vertical="top"/>
    </xf>
    <xf numFmtId="0" fontId="7" fillId="8" borderId="1" xfId="0" applyFont="1" applyFill="1" applyBorder="1" applyAlignment="1">
      <alignment horizontal="left" vertical="top" wrapText="1"/>
    </xf>
    <xf numFmtId="16" fontId="7" fillId="8" borderId="1" xfId="0" applyNumberFormat="1" applyFont="1" applyFill="1" applyBorder="1" applyAlignment="1">
      <alignment horizontal="right" vertical="top"/>
    </xf>
    <xf numFmtId="16" fontId="7" fillId="8" borderId="1" xfId="0" applyNumberFormat="1" applyFont="1" applyFill="1" applyBorder="1" applyAlignment="1">
      <alignment horizontal="left" vertical="top"/>
    </xf>
    <xf numFmtId="16" fontId="7" fillId="8" borderId="1" xfId="0" applyNumberFormat="1" applyFont="1" applyFill="1" applyBorder="1" applyAlignment="1">
      <alignment vertical="top"/>
    </xf>
    <xf numFmtId="0" fontId="8" fillId="9" borderId="40" xfId="1" applyFont="1" applyFill="1" applyBorder="1" applyAlignment="1">
      <alignment horizontal="right"/>
    </xf>
    <xf numFmtId="0" fontId="5" fillId="9" borderId="44" xfId="1" applyFont="1" applyFill="1" applyBorder="1" applyAlignment="1">
      <alignment horizontal="right"/>
    </xf>
    <xf numFmtId="0" fontId="6" fillId="9" borderId="44" xfId="1" applyFont="1" applyFill="1" applyBorder="1" applyAlignment="1">
      <alignment horizontal="right"/>
    </xf>
    <xf numFmtId="0" fontId="7" fillId="9" borderId="44" xfId="1" applyFont="1" applyFill="1" applyBorder="1" applyAlignment="1">
      <alignment horizontal="right"/>
    </xf>
    <xf numFmtId="0" fontId="7" fillId="9" borderId="55" xfId="1" applyFont="1" applyFill="1" applyBorder="1" applyAlignment="1">
      <alignment horizontal="left"/>
    </xf>
    <xf numFmtId="0" fontId="7" fillId="9" borderId="1" xfId="1" applyFont="1" applyFill="1" applyBorder="1" applyAlignment="1">
      <alignment horizontal="left"/>
    </xf>
    <xf numFmtId="0" fontId="7" fillId="9" borderId="1" xfId="1" applyFont="1" applyFill="1" applyBorder="1"/>
    <xf numFmtId="0" fontId="7" fillId="9" borderId="60" xfId="1" applyFont="1" applyFill="1" applyBorder="1" applyAlignment="1">
      <alignment horizontal="left"/>
    </xf>
    <xf numFmtId="0" fontId="7" fillId="0" borderId="46" xfId="1" applyFont="1" applyBorder="1" applyAlignment="1">
      <alignment horizontal="left"/>
    </xf>
    <xf numFmtId="0" fontId="7" fillId="0" borderId="41" xfId="1" applyFont="1" applyBorder="1" applyAlignment="1">
      <alignment horizontal="left"/>
    </xf>
    <xf numFmtId="0" fontId="7" fillId="0" borderId="16" xfId="1" applyFont="1" applyBorder="1" applyAlignment="1">
      <alignment horizontal="left"/>
    </xf>
    <xf numFmtId="0" fontId="7" fillId="0" borderId="1" xfId="1" applyFont="1" applyBorder="1" applyAlignment="1">
      <alignment horizontal="left"/>
    </xf>
    <xf numFmtId="0" fontId="7" fillId="0" borderId="16" xfId="1" applyFont="1" applyBorder="1" applyAlignment="1">
      <alignment horizontal="left" vertical="top"/>
    </xf>
    <xf numFmtId="0" fontId="7" fillId="0" borderId="1" xfId="1" applyFont="1" applyBorder="1" applyAlignment="1">
      <alignment horizontal="left" vertical="top"/>
    </xf>
    <xf numFmtId="0" fontId="7" fillId="0" borderId="59" xfId="1" applyFont="1" applyBorder="1" applyAlignment="1">
      <alignment horizontal="left" vertical="top"/>
    </xf>
    <xf numFmtId="0" fontId="7" fillId="0" borderId="60" xfId="1" applyFont="1" applyBorder="1" applyAlignment="1">
      <alignment horizontal="left" vertical="top"/>
    </xf>
    <xf numFmtId="164" fontId="9" fillId="5" borderId="34" xfId="1" applyNumberFormat="1" applyFont="1" applyFill="1" applyBorder="1" applyAlignment="1">
      <alignment horizontal="center" vertical="center"/>
    </xf>
    <xf numFmtId="164" fontId="9" fillId="5" borderId="35" xfId="1" applyNumberFormat="1" applyFont="1" applyFill="1" applyBorder="1" applyAlignment="1">
      <alignment horizontal="center" vertical="center"/>
    </xf>
    <xf numFmtId="0" fontId="6" fillId="0" borderId="39" xfId="1" applyFont="1" applyBorder="1" applyAlignment="1">
      <alignment horizontal="right"/>
    </xf>
    <xf numFmtId="0" fontId="6" fillId="0" borderId="46" xfId="1" applyFont="1" applyBorder="1" applyAlignment="1">
      <alignment horizontal="right"/>
    </xf>
    <xf numFmtId="0" fontId="3" fillId="3" borderId="9" xfId="1" applyFont="1" applyFill="1" applyBorder="1" applyAlignment="1">
      <alignment horizontal="center" vertical="center"/>
    </xf>
    <xf numFmtId="0" fontId="3" fillId="3" borderId="10" xfId="1" applyFont="1" applyFill="1" applyBorder="1" applyAlignment="1">
      <alignment horizontal="center" vertical="center"/>
    </xf>
    <xf numFmtId="0" fontId="3" fillId="3" borderId="18" xfId="1" applyFont="1" applyFill="1" applyBorder="1" applyAlignment="1">
      <alignment horizontal="center" vertical="center" wrapText="1"/>
    </xf>
    <xf numFmtId="0" fontId="3" fillId="3" borderId="19" xfId="1" applyFont="1" applyFill="1" applyBorder="1" applyAlignment="1">
      <alignment horizontal="center" vertical="center" wrapText="1"/>
    </xf>
    <xf numFmtId="0" fontId="3" fillId="3" borderId="10" xfId="1" applyFont="1" applyFill="1" applyBorder="1" applyAlignment="1">
      <alignment horizontal="center" vertical="center" wrapText="1"/>
    </xf>
    <xf numFmtId="0" fontId="3" fillId="3" borderId="24" xfId="1" applyFont="1" applyFill="1" applyBorder="1" applyAlignment="1">
      <alignment horizontal="center" vertical="center" wrapText="1"/>
    </xf>
    <xf numFmtId="0" fontId="3" fillId="3" borderId="20" xfId="1" applyFont="1" applyFill="1" applyBorder="1" applyAlignment="1">
      <alignment horizontal="center" vertical="center" wrapText="1"/>
    </xf>
    <xf numFmtId="0" fontId="3" fillId="3" borderId="25" xfId="1" applyFont="1" applyFill="1" applyBorder="1" applyAlignment="1">
      <alignment horizontal="center" vertical="center" wrapText="1"/>
    </xf>
    <xf numFmtId="0" fontId="7" fillId="3" borderId="26" xfId="1" applyFont="1" applyFill="1" applyBorder="1" applyAlignment="1">
      <alignment horizontal="center" vertical="center"/>
    </xf>
    <xf numFmtId="0" fontId="7" fillId="3" borderId="27" xfId="1" applyFont="1" applyFill="1" applyBorder="1" applyAlignment="1">
      <alignment horizontal="center" vertical="center"/>
    </xf>
    <xf numFmtId="0" fontId="7" fillId="3" borderId="28" xfId="1" applyFont="1" applyFill="1" applyBorder="1" applyAlignment="1">
      <alignment horizontal="center" vertical="center"/>
    </xf>
    <xf numFmtId="0" fontId="7" fillId="3" borderId="29" xfId="1" applyFont="1" applyFill="1" applyBorder="1" applyAlignment="1">
      <alignment horizontal="center" vertical="center"/>
    </xf>
    <xf numFmtId="0" fontId="7" fillId="3" borderId="30" xfId="1" applyFont="1" applyFill="1" applyBorder="1" applyAlignment="1">
      <alignment horizontal="center" vertical="center"/>
    </xf>
    <xf numFmtId="0" fontId="7" fillId="3" borderId="31" xfId="1" applyFont="1" applyFill="1" applyBorder="1" applyAlignment="1">
      <alignment horizontal="center" vertical="center"/>
    </xf>
    <xf numFmtId="0" fontId="7" fillId="3" borderId="32" xfId="1" applyFont="1" applyFill="1" applyBorder="1" applyAlignment="1">
      <alignment horizontal="center" vertical="center"/>
    </xf>
    <xf numFmtId="0" fontId="3" fillId="3" borderId="9" xfId="2" applyFont="1" applyFill="1" applyBorder="1" applyAlignment="1">
      <alignment horizontal="left" wrapText="1"/>
    </xf>
    <xf numFmtId="0" fontId="3" fillId="3" borderId="10" xfId="2" applyFont="1" applyFill="1" applyBorder="1" applyAlignment="1">
      <alignment horizontal="left" wrapText="1"/>
    </xf>
    <xf numFmtId="0" fontId="3" fillId="3" borderId="14" xfId="2" applyFont="1" applyFill="1" applyBorder="1" applyAlignment="1">
      <alignment horizontal="left" wrapText="1"/>
    </xf>
    <xf numFmtId="0" fontId="3" fillId="3" borderId="15" xfId="2" applyFont="1" applyFill="1" applyBorder="1" applyAlignment="1">
      <alignment horizontal="left" wrapText="1"/>
    </xf>
    <xf numFmtId="0" fontId="3" fillId="3" borderId="16" xfId="2" applyFont="1" applyFill="1" applyBorder="1" applyAlignment="1">
      <alignment horizontal="left" wrapText="1"/>
    </xf>
    <xf numFmtId="0" fontId="7" fillId="3" borderId="20" xfId="2" applyFont="1" applyFill="1" applyBorder="1" applyAlignment="1">
      <alignment horizontal="center" wrapText="1"/>
    </xf>
    <xf numFmtId="0" fontId="7" fillId="3" borderId="19" xfId="2" applyFont="1" applyFill="1" applyBorder="1" applyAlignment="1">
      <alignment horizontal="center" wrapText="1"/>
    </xf>
    <xf numFmtId="0" fontId="7" fillId="3" borderId="21" xfId="2" applyFont="1" applyFill="1" applyBorder="1" applyAlignment="1">
      <alignment horizontal="center" wrapText="1"/>
    </xf>
    <xf numFmtId="0" fontId="5" fillId="4" borderId="22" xfId="2" applyFont="1" applyFill="1" applyBorder="1" applyAlignment="1">
      <alignment horizontal="left" wrapText="1"/>
    </xf>
    <xf numFmtId="0" fontId="5" fillId="4" borderId="23" xfId="2" applyFont="1" applyFill="1" applyBorder="1" applyAlignment="1">
      <alignment horizontal="left" wrapText="1"/>
    </xf>
    <xf numFmtId="0" fontId="3" fillId="3" borderId="2" xfId="2" applyFont="1" applyFill="1" applyBorder="1" applyAlignment="1">
      <alignment horizontal="left" wrapText="1"/>
    </xf>
    <xf numFmtId="0" fontId="3" fillId="3" borderId="3" xfId="2" applyFont="1" applyFill="1" applyBorder="1" applyAlignment="1">
      <alignment horizontal="left" wrapText="1"/>
    </xf>
    <xf numFmtId="0" fontId="3" fillId="3" borderId="6" xfId="2" applyFont="1" applyFill="1" applyBorder="1" applyAlignment="1">
      <alignment horizontal="left" wrapText="1"/>
    </xf>
    <xf numFmtId="0" fontId="3" fillId="3" borderId="7" xfId="2" applyFont="1" applyFill="1" applyBorder="1" applyAlignment="1">
      <alignment horizontal="left" wrapText="1"/>
    </xf>
    <xf numFmtId="49" fontId="6" fillId="4" borderId="4" xfId="2" applyNumberFormat="1" applyFont="1" applyFill="1" applyBorder="1" applyAlignment="1">
      <alignment horizontal="center" wrapText="1"/>
    </xf>
    <xf numFmtId="0" fontId="6" fillId="4" borderId="3" xfId="2" applyFont="1" applyFill="1" applyBorder="1" applyAlignment="1">
      <alignment horizontal="center" wrapText="1"/>
    </xf>
    <xf numFmtId="0" fontId="6" fillId="4" borderId="8" xfId="2" applyFont="1" applyFill="1" applyBorder="1" applyAlignment="1">
      <alignment horizontal="center" wrapText="1"/>
    </xf>
    <xf numFmtId="0" fontId="8" fillId="4" borderId="12" xfId="2" applyFont="1" applyFill="1" applyBorder="1" applyAlignment="1">
      <alignment horizontal="left" wrapText="1"/>
    </xf>
    <xf numFmtId="0" fontId="20" fillId="0" borderId="0" xfId="2" applyFont="1" applyAlignment="1">
      <alignment horizontal="center" vertical="top" wrapText="1"/>
    </xf>
    <xf numFmtId="0" fontId="28" fillId="0" borderId="1" xfId="0" applyFont="1" applyBorder="1" applyAlignment="1">
      <alignment horizontal="center" vertical="top"/>
    </xf>
    <xf numFmtId="0" fontId="28" fillId="0" borderId="1" xfId="0" applyFont="1" applyBorder="1" applyAlignment="1">
      <alignment vertical="top" wrapText="1"/>
    </xf>
    <xf numFmtId="0" fontId="28" fillId="0" borderId="1" xfId="0" applyFont="1" applyBorder="1" applyAlignment="1">
      <alignment horizontal="right" vertical="top" wrapText="1"/>
    </xf>
    <xf numFmtId="0" fontId="28" fillId="0" borderId="1" xfId="0" applyFont="1" applyBorder="1" applyAlignment="1">
      <alignment vertical="top"/>
    </xf>
    <xf numFmtId="0" fontId="28" fillId="0" borderId="1" xfId="0" applyFont="1" applyBorder="1" applyAlignment="1">
      <alignment horizontal="right" vertical="top"/>
    </xf>
    <xf numFmtId="0" fontId="7" fillId="0" borderId="15" xfId="1" applyFont="1" applyBorder="1" applyAlignment="1">
      <alignment horizontal="right"/>
    </xf>
    <xf numFmtId="0" fontId="7" fillId="0" borderId="16" xfId="1" applyFont="1" applyBorder="1" applyAlignment="1">
      <alignment horizontal="right"/>
    </xf>
    <xf numFmtId="0" fontId="7" fillId="0" borderId="0" xfId="1" applyFont="1" applyAlignment="1">
      <alignment horizontal="right"/>
    </xf>
    <xf numFmtId="0" fontId="7" fillId="0" borderId="44" xfId="1" applyFont="1" applyBorder="1" applyAlignment="1">
      <alignment horizontal="right"/>
    </xf>
    <xf numFmtId="0" fontId="7" fillId="0" borderId="39" xfId="1" applyFont="1" applyBorder="1" applyAlignment="1">
      <alignment horizontal="right"/>
    </xf>
    <xf numFmtId="0" fontId="7" fillId="0" borderId="46" xfId="1" applyFont="1" applyBorder="1" applyAlignment="1">
      <alignment horizontal="right"/>
    </xf>
    <xf numFmtId="0" fontId="13" fillId="0" borderId="0" xfId="1" applyFont="1" applyBorder="1" applyAlignment="1">
      <alignment horizontal="center"/>
    </xf>
    <xf numFmtId="2" fontId="7" fillId="6" borderId="46" xfId="1" applyNumberFormat="1" applyFont="1" applyFill="1" applyBorder="1" applyAlignment="1">
      <alignment horizontal="right" vertical="top"/>
    </xf>
    <xf numFmtId="0" fontId="7" fillId="6" borderId="59" xfId="1" applyFont="1" applyFill="1" applyBorder="1" applyAlignment="1">
      <alignment horizontal="right"/>
    </xf>
    <xf numFmtId="49" fontId="8" fillId="4" borderId="4" xfId="2" applyNumberFormat="1" applyFont="1" applyFill="1" applyBorder="1" applyAlignment="1">
      <alignment horizontal="left" wrapText="1"/>
    </xf>
    <xf numFmtId="0" fontId="8" fillId="4" borderId="3" xfId="2" applyFont="1" applyFill="1" applyBorder="1" applyAlignment="1">
      <alignment horizontal="left" wrapText="1"/>
    </xf>
    <xf numFmtId="0" fontId="8" fillId="4" borderId="5" xfId="2" applyFont="1" applyFill="1" applyBorder="1" applyAlignment="1">
      <alignment horizontal="left" wrapText="1"/>
    </xf>
    <xf numFmtId="0" fontId="8" fillId="4" borderId="11" xfId="2" applyFont="1" applyFill="1" applyBorder="1" applyAlignment="1">
      <alignment horizontal="left" wrapText="1"/>
    </xf>
    <xf numFmtId="0" fontId="8" fillId="4" borderId="13" xfId="2" applyFont="1" applyFill="1" applyBorder="1" applyAlignment="1">
      <alignment horizontal="left" wrapText="1"/>
    </xf>
    <xf numFmtId="0" fontId="8" fillId="4" borderId="18" xfId="2" applyFont="1" applyFill="1" applyBorder="1" applyAlignment="1">
      <alignment horizontal="center" wrapText="1"/>
    </xf>
    <xf numFmtId="0" fontId="8" fillId="4" borderId="19" xfId="2" applyFont="1" applyFill="1" applyBorder="1" applyAlignment="1">
      <alignment horizontal="center" wrapText="1"/>
    </xf>
    <xf numFmtId="0" fontId="7" fillId="7" borderId="1" xfId="2" applyFont="1" applyFill="1" applyBorder="1" applyAlignment="1">
      <alignment horizontal="left" vertical="top" wrapText="1"/>
    </xf>
    <xf numFmtId="0" fontId="24" fillId="0" borderId="63" xfId="2" applyFont="1" applyBorder="1" applyAlignment="1">
      <alignment horizontal="left" vertical="top" wrapText="1"/>
    </xf>
  </cellXfs>
  <cellStyles count="4">
    <cellStyle name="Hyperlink" xfId="3" builtinId="8"/>
    <cellStyle name="Normal" xfId="0" builtinId="0"/>
    <cellStyle name="Normal_Sheet1" xfId="2" xr:uid="{00000000-0005-0000-0000-000002000000}"/>
    <cellStyle name="Normal_Template_UnitTest Case_v0.9"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workbookViewId="0">
      <selection activeCell="A9" sqref="A9:B11"/>
    </sheetView>
  </sheetViews>
  <sheetFormatPr defaultRowHeight="13.8"/>
  <cols>
    <col min="1" max="1" width="8" bestFit="1" customWidth="1"/>
    <col min="2" max="2" width="34.69921875" customWidth="1"/>
    <col min="3" max="3" width="4.296875" bestFit="1" customWidth="1"/>
    <col min="4" max="4" width="36.19921875" customWidth="1"/>
  </cols>
  <sheetData>
    <row r="1" spans="1:4">
      <c r="A1" s="1" t="s">
        <v>0</v>
      </c>
      <c r="B1" s="1" t="s">
        <v>1</v>
      </c>
      <c r="C1" s="1" t="s">
        <v>2</v>
      </c>
      <c r="D1" s="1" t="s">
        <v>3</v>
      </c>
    </row>
    <row r="2" spans="1:4" ht="27.6">
      <c r="A2" s="144">
        <v>1</v>
      </c>
      <c r="B2" s="145" t="s">
        <v>52</v>
      </c>
      <c r="C2" s="146">
        <v>3</v>
      </c>
      <c r="D2" s="147" t="s">
        <v>51</v>
      </c>
    </row>
    <row r="3" spans="1:4" ht="27.6">
      <c r="A3" s="144">
        <v>2</v>
      </c>
      <c r="B3" s="145" t="s">
        <v>46</v>
      </c>
      <c r="C3" s="146">
        <v>4</v>
      </c>
      <c r="D3" s="147" t="s">
        <v>45</v>
      </c>
    </row>
    <row r="4" spans="1:4">
      <c r="A4" s="144">
        <v>3</v>
      </c>
      <c r="B4" s="145" t="s">
        <v>48</v>
      </c>
      <c r="C4" s="146">
        <v>8</v>
      </c>
      <c r="D4" s="147" t="s">
        <v>49</v>
      </c>
    </row>
    <row r="5" spans="1:4" ht="27.6">
      <c r="A5" s="144">
        <v>4</v>
      </c>
      <c r="B5" s="145" t="s">
        <v>47</v>
      </c>
      <c r="C5" s="146">
        <v>9</v>
      </c>
      <c r="D5" s="147" t="s">
        <v>50</v>
      </c>
    </row>
    <row r="6" spans="1:4">
      <c r="A6" s="144">
        <v>5</v>
      </c>
      <c r="B6" s="147"/>
      <c r="C6" s="148"/>
      <c r="D6" s="145"/>
    </row>
    <row r="7" spans="1:4">
      <c r="A7" s="144">
        <v>6</v>
      </c>
      <c r="B7" s="147"/>
      <c r="C7" s="148"/>
      <c r="D7" s="145"/>
    </row>
    <row r="9" spans="1:4">
      <c r="A9" s="2"/>
      <c r="B9" s="3"/>
      <c r="C9"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4"/>
  <sheetViews>
    <sheetView tabSelected="1" topLeftCell="A25" workbookViewId="0">
      <selection activeCell="D43" sqref="D43"/>
    </sheetView>
  </sheetViews>
  <sheetFormatPr defaultColWidth="9" defaultRowHeight="10.199999999999999"/>
  <cols>
    <col min="1" max="1" width="8.09765625" style="4" customWidth="1"/>
    <col min="2" max="2" width="13.296875" style="11" customWidth="1"/>
    <col min="3" max="3" width="10.796875" style="4" customWidth="1"/>
    <col min="4" max="4" width="11.296875" style="12" customWidth="1"/>
    <col min="5" max="5" width="1.796875" style="4" hidden="1" customWidth="1"/>
    <col min="6" max="7" width="2.8984375" style="4" bestFit="1" customWidth="1"/>
    <col min="8" max="8" width="2.8984375" style="4" customWidth="1"/>
    <col min="9" max="10" width="2.8984375" style="4" bestFit="1" customWidth="1"/>
    <col min="11" max="19" width="2.8984375" style="4" customWidth="1"/>
    <col min="20" max="20" width="2.8984375" style="4" bestFit="1" customWidth="1"/>
    <col min="21" max="21" width="2.8984375" style="4" customWidth="1"/>
    <col min="22" max="22" width="9" style="5"/>
    <col min="23" max="23" width="24.19921875" style="4" bestFit="1" customWidth="1"/>
    <col min="24" max="24" width="9" style="4"/>
    <col min="25" max="25" width="15.09765625" style="4" bestFit="1" customWidth="1"/>
    <col min="26" max="256" width="9" style="4"/>
    <col min="257" max="257" width="8.09765625" style="4" customWidth="1"/>
    <col min="258" max="258" width="13.296875" style="4" customWidth="1"/>
    <col min="259" max="259" width="10.796875" style="4" customWidth="1"/>
    <col min="260" max="260" width="11.296875" style="4" customWidth="1"/>
    <col min="261" max="261" width="0" style="4" hidden="1" customWidth="1"/>
    <col min="262" max="263" width="2.8984375" style="4" bestFit="1" customWidth="1"/>
    <col min="264" max="264" width="2.8984375" style="4" customWidth="1"/>
    <col min="265" max="266" width="2.8984375" style="4" bestFit="1" customWidth="1"/>
    <col min="267" max="275" width="2.8984375" style="4" customWidth="1"/>
    <col min="276" max="276" width="2.8984375" style="4" bestFit="1" customWidth="1"/>
    <col min="277" max="277" width="2.8984375" style="4" customWidth="1"/>
    <col min="278" max="512" width="9" style="4"/>
    <col min="513" max="513" width="8.09765625" style="4" customWidth="1"/>
    <col min="514" max="514" width="13.296875" style="4" customWidth="1"/>
    <col min="515" max="515" width="10.796875" style="4" customWidth="1"/>
    <col min="516" max="516" width="11.296875" style="4" customWidth="1"/>
    <col min="517" max="517" width="0" style="4" hidden="1" customWidth="1"/>
    <col min="518" max="519" width="2.8984375" style="4" bestFit="1" customWidth="1"/>
    <col min="520" max="520" width="2.8984375" style="4" customWidth="1"/>
    <col min="521" max="522" width="2.8984375" style="4" bestFit="1" customWidth="1"/>
    <col min="523" max="531" width="2.8984375" style="4" customWidth="1"/>
    <col min="532" max="532" width="2.8984375" style="4" bestFit="1" customWidth="1"/>
    <col min="533" max="533" width="2.8984375" style="4" customWidth="1"/>
    <col min="534" max="768" width="9" style="4"/>
    <col min="769" max="769" width="8.09765625" style="4" customWidth="1"/>
    <col min="770" max="770" width="13.296875" style="4" customWidth="1"/>
    <col min="771" max="771" width="10.796875" style="4" customWidth="1"/>
    <col min="772" max="772" width="11.296875" style="4" customWidth="1"/>
    <col min="773" max="773" width="0" style="4" hidden="1" customWidth="1"/>
    <col min="774" max="775" width="2.8984375" style="4" bestFit="1" customWidth="1"/>
    <col min="776" max="776" width="2.8984375" style="4" customWidth="1"/>
    <col min="777" max="778" width="2.8984375" style="4" bestFit="1" customWidth="1"/>
    <col min="779" max="787" width="2.8984375" style="4" customWidth="1"/>
    <col min="788" max="788" width="2.8984375" style="4" bestFit="1" customWidth="1"/>
    <col min="789" max="789" width="2.8984375" style="4" customWidth="1"/>
    <col min="790" max="1024" width="9" style="4"/>
    <col min="1025" max="1025" width="8.09765625" style="4" customWidth="1"/>
    <col min="1026" max="1026" width="13.296875" style="4" customWidth="1"/>
    <col min="1027" max="1027" width="10.796875" style="4" customWidth="1"/>
    <col min="1028" max="1028" width="11.296875" style="4" customWidth="1"/>
    <col min="1029" max="1029" width="0" style="4" hidden="1" customWidth="1"/>
    <col min="1030" max="1031" width="2.8984375" style="4" bestFit="1" customWidth="1"/>
    <col min="1032" max="1032" width="2.8984375" style="4" customWidth="1"/>
    <col min="1033" max="1034" width="2.8984375" style="4" bestFit="1" customWidth="1"/>
    <col min="1035" max="1043" width="2.8984375" style="4" customWidth="1"/>
    <col min="1044" max="1044" width="2.8984375" style="4" bestFit="1" customWidth="1"/>
    <col min="1045" max="1045" width="2.8984375" style="4" customWidth="1"/>
    <col min="1046" max="1280" width="9" style="4"/>
    <col min="1281" max="1281" width="8.09765625" style="4" customWidth="1"/>
    <col min="1282" max="1282" width="13.296875" style="4" customWidth="1"/>
    <col min="1283" max="1283" width="10.796875" style="4" customWidth="1"/>
    <col min="1284" max="1284" width="11.296875" style="4" customWidth="1"/>
    <col min="1285" max="1285" width="0" style="4" hidden="1" customWidth="1"/>
    <col min="1286" max="1287" width="2.8984375" style="4" bestFit="1" customWidth="1"/>
    <col min="1288" max="1288" width="2.8984375" style="4" customWidth="1"/>
    <col min="1289" max="1290" width="2.8984375" style="4" bestFit="1" customWidth="1"/>
    <col min="1291" max="1299" width="2.8984375" style="4" customWidth="1"/>
    <col min="1300" max="1300" width="2.8984375" style="4" bestFit="1" customWidth="1"/>
    <col min="1301" max="1301" width="2.8984375" style="4" customWidth="1"/>
    <col min="1302" max="1536" width="9" style="4"/>
    <col min="1537" max="1537" width="8.09765625" style="4" customWidth="1"/>
    <col min="1538" max="1538" width="13.296875" style="4" customWidth="1"/>
    <col min="1539" max="1539" width="10.796875" style="4" customWidth="1"/>
    <col min="1540" max="1540" width="11.296875" style="4" customWidth="1"/>
    <col min="1541" max="1541" width="0" style="4" hidden="1" customWidth="1"/>
    <col min="1542" max="1543" width="2.8984375" style="4" bestFit="1" customWidth="1"/>
    <col min="1544" max="1544" width="2.8984375" style="4" customWidth="1"/>
    <col min="1545" max="1546" width="2.8984375" style="4" bestFit="1" customWidth="1"/>
    <col min="1547" max="1555" width="2.8984375" style="4" customWidth="1"/>
    <col min="1556" max="1556" width="2.8984375" style="4" bestFit="1" customWidth="1"/>
    <col min="1557" max="1557" width="2.8984375" style="4" customWidth="1"/>
    <col min="1558" max="1792" width="9" style="4"/>
    <col min="1793" max="1793" width="8.09765625" style="4" customWidth="1"/>
    <col min="1794" max="1794" width="13.296875" style="4" customWidth="1"/>
    <col min="1795" max="1795" width="10.796875" style="4" customWidth="1"/>
    <col min="1796" max="1796" width="11.296875" style="4" customWidth="1"/>
    <col min="1797" max="1797" width="0" style="4" hidden="1" customWidth="1"/>
    <col min="1798" max="1799" width="2.8984375" style="4" bestFit="1" customWidth="1"/>
    <col min="1800" max="1800" width="2.8984375" style="4" customWidth="1"/>
    <col min="1801" max="1802" width="2.8984375" style="4" bestFit="1" customWidth="1"/>
    <col min="1803" max="1811" width="2.8984375" style="4" customWidth="1"/>
    <col min="1812" max="1812" width="2.8984375" style="4" bestFit="1" customWidth="1"/>
    <col min="1813" max="1813" width="2.8984375" style="4" customWidth="1"/>
    <col min="1814" max="2048" width="9" style="4"/>
    <col min="2049" max="2049" width="8.09765625" style="4" customWidth="1"/>
    <col min="2050" max="2050" width="13.296875" style="4" customWidth="1"/>
    <col min="2051" max="2051" width="10.796875" style="4" customWidth="1"/>
    <col min="2052" max="2052" width="11.296875" style="4" customWidth="1"/>
    <col min="2053" max="2053" width="0" style="4" hidden="1" customWidth="1"/>
    <col min="2054" max="2055" width="2.8984375" style="4" bestFit="1" customWidth="1"/>
    <col min="2056" max="2056" width="2.8984375" style="4" customWidth="1"/>
    <col min="2057" max="2058" width="2.8984375" style="4" bestFit="1" customWidth="1"/>
    <col min="2059" max="2067" width="2.8984375" style="4" customWidth="1"/>
    <col min="2068" max="2068" width="2.8984375" style="4" bestFit="1" customWidth="1"/>
    <col min="2069" max="2069" width="2.8984375" style="4" customWidth="1"/>
    <col min="2070" max="2304" width="9" style="4"/>
    <col min="2305" max="2305" width="8.09765625" style="4" customWidth="1"/>
    <col min="2306" max="2306" width="13.296875" style="4" customWidth="1"/>
    <col min="2307" max="2307" width="10.796875" style="4" customWidth="1"/>
    <col min="2308" max="2308" width="11.296875" style="4" customWidth="1"/>
    <col min="2309" max="2309" width="0" style="4" hidden="1" customWidth="1"/>
    <col min="2310" max="2311" width="2.8984375" style="4" bestFit="1" customWidth="1"/>
    <col min="2312" max="2312" width="2.8984375" style="4" customWidth="1"/>
    <col min="2313" max="2314" width="2.8984375" style="4" bestFit="1" customWidth="1"/>
    <col min="2315" max="2323" width="2.8984375" style="4" customWidth="1"/>
    <col min="2324" max="2324" width="2.8984375" style="4" bestFit="1" customWidth="1"/>
    <col min="2325" max="2325" width="2.8984375" style="4" customWidth="1"/>
    <col min="2326" max="2560" width="9" style="4"/>
    <col min="2561" max="2561" width="8.09765625" style="4" customWidth="1"/>
    <col min="2562" max="2562" width="13.296875" style="4" customWidth="1"/>
    <col min="2563" max="2563" width="10.796875" style="4" customWidth="1"/>
    <col min="2564" max="2564" width="11.296875" style="4" customWidth="1"/>
    <col min="2565" max="2565" width="0" style="4" hidden="1" customWidth="1"/>
    <col min="2566" max="2567" width="2.8984375" style="4" bestFit="1" customWidth="1"/>
    <col min="2568" max="2568" width="2.8984375" style="4" customWidth="1"/>
    <col min="2569" max="2570" width="2.8984375" style="4" bestFit="1" customWidth="1"/>
    <col min="2571" max="2579" width="2.8984375" style="4" customWidth="1"/>
    <col min="2580" max="2580" width="2.8984375" style="4" bestFit="1" customWidth="1"/>
    <col min="2581" max="2581" width="2.8984375" style="4" customWidth="1"/>
    <col min="2582" max="2816" width="9" style="4"/>
    <col min="2817" max="2817" width="8.09765625" style="4" customWidth="1"/>
    <col min="2818" max="2818" width="13.296875" style="4" customWidth="1"/>
    <col min="2819" max="2819" width="10.796875" style="4" customWidth="1"/>
    <col min="2820" max="2820" width="11.296875" style="4" customWidth="1"/>
    <col min="2821" max="2821" width="0" style="4" hidden="1" customWidth="1"/>
    <col min="2822" max="2823" width="2.8984375" style="4" bestFit="1" customWidth="1"/>
    <col min="2824" max="2824" width="2.8984375" style="4" customWidth="1"/>
    <col min="2825" max="2826" width="2.8984375" style="4" bestFit="1" customWidth="1"/>
    <col min="2827" max="2835" width="2.8984375" style="4" customWidth="1"/>
    <col min="2836" max="2836" width="2.8984375" style="4" bestFit="1" customWidth="1"/>
    <col min="2837" max="2837" width="2.8984375" style="4" customWidth="1"/>
    <col min="2838" max="3072" width="9" style="4"/>
    <col min="3073" max="3073" width="8.09765625" style="4" customWidth="1"/>
    <col min="3074" max="3074" width="13.296875" style="4" customWidth="1"/>
    <col min="3075" max="3075" width="10.796875" style="4" customWidth="1"/>
    <col min="3076" max="3076" width="11.296875" style="4" customWidth="1"/>
    <col min="3077" max="3077" width="0" style="4" hidden="1" customWidth="1"/>
    <col min="3078" max="3079" width="2.8984375" style="4" bestFit="1" customWidth="1"/>
    <col min="3080" max="3080" width="2.8984375" style="4" customWidth="1"/>
    <col min="3081" max="3082" width="2.8984375" style="4" bestFit="1" customWidth="1"/>
    <col min="3083" max="3091" width="2.8984375" style="4" customWidth="1"/>
    <col min="3092" max="3092" width="2.8984375" style="4" bestFit="1" customWidth="1"/>
    <col min="3093" max="3093" width="2.8984375" style="4" customWidth="1"/>
    <col min="3094" max="3328" width="9" style="4"/>
    <col min="3329" max="3329" width="8.09765625" style="4" customWidth="1"/>
    <col min="3330" max="3330" width="13.296875" style="4" customWidth="1"/>
    <col min="3331" max="3331" width="10.796875" style="4" customWidth="1"/>
    <col min="3332" max="3332" width="11.296875" style="4" customWidth="1"/>
    <col min="3333" max="3333" width="0" style="4" hidden="1" customWidth="1"/>
    <col min="3334" max="3335" width="2.8984375" style="4" bestFit="1" customWidth="1"/>
    <col min="3336" max="3336" width="2.8984375" style="4" customWidth="1"/>
    <col min="3337" max="3338" width="2.8984375" style="4" bestFit="1" customWidth="1"/>
    <col min="3339" max="3347" width="2.8984375" style="4" customWidth="1"/>
    <col min="3348" max="3348" width="2.8984375" style="4" bestFit="1" customWidth="1"/>
    <col min="3349" max="3349" width="2.8984375" style="4" customWidth="1"/>
    <col min="3350" max="3584" width="9" style="4"/>
    <col min="3585" max="3585" width="8.09765625" style="4" customWidth="1"/>
    <col min="3586" max="3586" width="13.296875" style="4" customWidth="1"/>
    <col min="3587" max="3587" width="10.796875" style="4" customWidth="1"/>
    <col min="3588" max="3588" width="11.296875" style="4" customWidth="1"/>
    <col min="3589" max="3589" width="0" style="4" hidden="1" customWidth="1"/>
    <col min="3590" max="3591" width="2.8984375" style="4" bestFit="1" customWidth="1"/>
    <col min="3592" max="3592" width="2.8984375" style="4" customWidth="1"/>
    <col min="3593" max="3594" width="2.8984375" style="4" bestFit="1" customWidth="1"/>
    <col min="3595" max="3603" width="2.8984375" style="4" customWidth="1"/>
    <col min="3604" max="3604" width="2.8984375" style="4" bestFit="1" customWidth="1"/>
    <col min="3605" max="3605" width="2.8984375" style="4" customWidth="1"/>
    <col min="3606" max="3840" width="9" style="4"/>
    <col min="3841" max="3841" width="8.09765625" style="4" customWidth="1"/>
    <col min="3842" max="3842" width="13.296875" style="4" customWidth="1"/>
    <col min="3843" max="3843" width="10.796875" style="4" customWidth="1"/>
    <col min="3844" max="3844" width="11.296875" style="4" customWidth="1"/>
    <col min="3845" max="3845" width="0" style="4" hidden="1" customWidth="1"/>
    <col min="3846" max="3847" width="2.8984375" style="4" bestFit="1" customWidth="1"/>
    <col min="3848" max="3848" width="2.8984375" style="4" customWidth="1"/>
    <col min="3849" max="3850" width="2.8984375" style="4" bestFit="1" customWidth="1"/>
    <col min="3851" max="3859" width="2.8984375" style="4" customWidth="1"/>
    <col min="3860" max="3860" width="2.8984375" style="4" bestFit="1" customWidth="1"/>
    <col min="3861" max="3861" width="2.8984375" style="4" customWidth="1"/>
    <col min="3862" max="4096" width="9" style="4"/>
    <col min="4097" max="4097" width="8.09765625" style="4" customWidth="1"/>
    <col min="4098" max="4098" width="13.296875" style="4" customWidth="1"/>
    <col min="4099" max="4099" width="10.796875" style="4" customWidth="1"/>
    <col min="4100" max="4100" width="11.296875" style="4" customWidth="1"/>
    <col min="4101" max="4101" width="0" style="4" hidden="1" customWidth="1"/>
    <col min="4102" max="4103" width="2.8984375" style="4" bestFit="1" customWidth="1"/>
    <col min="4104" max="4104" width="2.8984375" style="4" customWidth="1"/>
    <col min="4105" max="4106" width="2.8984375" style="4" bestFit="1" customWidth="1"/>
    <col min="4107" max="4115" width="2.8984375" style="4" customWidth="1"/>
    <col min="4116" max="4116" width="2.8984375" style="4" bestFit="1" customWidth="1"/>
    <col min="4117" max="4117" width="2.8984375" style="4" customWidth="1"/>
    <col min="4118" max="4352" width="9" style="4"/>
    <col min="4353" max="4353" width="8.09765625" style="4" customWidth="1"/>
    <col min="4354" max="4354" width="13.296875" style="4" customWidth="1"/>
    <col min="4355" max="4355" width="10.796875" style="4" customWidth="1"/>
    <col min="4356" max="4356" width="11.296875" style="4" customWidth="1"/>
    <col min="4357" max="4357" width="0" style="4" hidden="1" customWidth="1"/>
    <col min="4358" max="4359" width="2.8984375" style="4" bestFit="1" customWidth="1"/>
    <col min="4360" max="4360" width="2.8984375" style="4" customWidth="1"/>
    <col min="4361" max="4362" width="2.8984375" style="4" bestFit="1" customWidth="1"/>
    <col min="4363" max="4371" width="2.8984375" style="4" customWidth="1"/>
    <col min="4372" max="4372" width="2.8984375" style="4" bestFit="1" customWidth="1"/>
    <col min="4373" max="4373" width="2.8984375" style="4" customWidth="1"/>
    <col min="4374" max="4608" width="9" style="4"/>
    <col min="4609" max="4609" width="8.09765625" style="4" customWidth="1"/>
    <col min="4610" max="4610" width="13.296875" style="4" customWidth="1"/>
    <col min="4611" max="4611" width="10.796875" style="4" customWidth="1"/>
    <col min="4612" max="4612" width="11.296875" style="4" customWidth="1"/>
    <col min="4613" max="4613" width="0" style="4" hidden="1" customWidth="1"/>
    <col min="4614" max="4615" width="2.8984375" style="4" bestFit="1" customWidth="1"/>
    <col min="4616" max="4616" width="2.8984375" style="4" customWidth="1"/>
    <col min="4617" max="4618" width="2.8984375" style="4" bestFit="1" customWidth="1"/>
    <col min="4619" max="4627" width="2.8984375" style="4" customWidth="1"/>
    <col min="4628" max="4628" width="2.8984375" style="4" bestFit="1" customWidth="1"/>
    <col min="4629" max="4629" width="2.8984375" style="4" customWidth="1"/>
    <col min="4630" max="4864" width="9" style="4"/>
    <col min="4865" max="4865" width="8.09765625" style="4" customWidth="1"/>
    <col min="4866" max="4866" width="13.296875" style="4" customWidth="1"/>
    <col min="4867" max="4867" width="10.796875" style="4" customWidth="1"/>
    <col min="4868" max="4868" width="11.296875" style="4" customWidth="1"/>
    <col min="4869" max="4869" width="0" style="4" hidden="1" customWidth="1"/>
    <col min="4870" max="4871" width="2.8984375" style="4" bestFit="1" customWidth="1"/>
    <col min="4872" max="4872" width="2.8984375" style="4" customWidth="1"/>
    <col min="4873" max="4874" width="2.8984375" style="4" bestFit="1" customWidth="1"/>
    <col min="4875" max="4883" width="2.8984375" style="4" customWidth="1"/>
    <col min="4884" max="4884" width="2.8984375" style="4" bestFit="1" customWidth="1"/>
    <col min="4885" max="4885" width="2.8984375" style="4" customWidth="1"/>
    <col min="4886" max="5120" width="9" style="4"/>
    <col min="5121" max="5121" width="8.09765625" style="4" customWidth="1"/>
    <col min="5122" max="5122" width="13.296875" style="4" customWidth="1"/>
    <col min="5123" max="5123" width="10.796875" style="4" customWidth="1"/>
    <col min="5124" max="5124" width="11.296875" style="4" customWidth="1"/>
    <col min="5125" max="5125" width="0" style="4" hidden="1" customWidth="1"/>
    <col min="5126" max="5127" width="2.8984375" style="4" bestFit="1" customWidth="1"/>
    <col min="5128" max="5128" width="2.8984375" style="4" customWidth="1"/>
    <col min="5129" max="5130" width="2.8984375" style="4" bestFit="1" customWidth="1"/>
    <col min="5131" max="5139" width="2.8984375" style="4" customWidth="1"/>
    <col min="5140" max="5140" width="2.8984375" style="4" bestFit="1" customWidth="1"/>
    <col min="5141" max="5141" width="2.8984375" style="4" customWidth="1"/>
    <col min="5142" max="5376" width="9" style="4"/>
    <col min="5377" max="5377" width="8.09765625" style="4" customWidth="1"/>
    <col min="5378" max="5378" width="13.296875" style="4" customWidth="1"/>
    <col min="5379" max="5379" width="10.796875" style="4" customWidth="1"/>
    <col min="5380" max="5380" width="11.296875" style="4" customWidth="1"/>
    <col min="5381" max="5381" width="0" style="4" hidden="1" customWidth="1"/>
    <col min="5382" max="5383" width="2.8984375" style="4" bestFit="1" customWidth="1"/>
    <col min="5384" max="5384" width="2.8984375" style="4" customWidth="1"/>
    <col min="5385" max="5386" width="2.8984375" style="4" bestFit="1" customWidth="1"/>
    <col min="5387" max="5395" width="2.8984375" style="4" customWidth="1"/>
    <col min="5396" max="5396" width="2.8984375" style="4" bestFit="1" customWidth="1"/>
    <col min="5397" max="5397" width="2.8984375" style="4" customWidth="1"/>
    <col min="5398" max="5632" width="9" style="4"/>
    <col min="5633" max="5633" width="8.09765625" style="4" customWidth="1"/>
    <col min="5634" max="5634" width="13.296875" style="4" customWidth="1"/>
    <col min="5635" max="5635" width="10.796875" style="4" customWidth="1"/>
    <col min="5636" max="5636" width="11.296875" style="4" customWidth="1"/>
    <col min="5637" max="5637" width="0" style="4" hidden="1" customWidth="1"/>
    <col min="5638" max="5639" width="2.8984375" style="4" bestFit="1" customWidth="1"/>
    <col min="5640" max="5640" width="2.8984375" style="4" customWidth="1"/>
    <col min="5641" max="5642" width="2.8984375" style="4" bestFit="1" customWidth="1"/>
    <col min="5643" max="5651" width="2.8984375" style="4" customWidth="1"/>
    <col min="5652" max="5652" width="2.8984375" style="4" bestFit="1" customWidth="1"/>
    <col min="5653" max="5653" width="2.8984375" style="4" customWidth="1"/>
    <col min="5654" max="5888" width="9" style="4"/>
    <col min="5889" max="5889" width="8.09765625" style="4" customWidth="1"/>
    <col min="5890" max="5890" width="13.296875" style="4" customWidth="1"/>
    <col min="5891" max="5891" width="10.796875" style="4" customWidth="1"/>
    <col min="5892" max="5892" width="11.296875" style="4" customWidth="1"/>
    <col min="5893" max="5893" width="0" style="4" hidden="1" customWidth="1"/>
    <col min="5894" max="5895" width="2.8984375" style="4" bestFit="1" customWidth="1"/>
    <col min="5896" max="5896" width="2.8984375" style="4" customWidth="1"/>
    <col min="5897" max="5898" width="2.8984375" style="4" bestFit="1" customWidth="1"/>
    <col min="5899" max="5907" width="2.8984375" style="4" customWidth="1"/>
    <col min="5908" max="5908" width="2.8984375" style="4" bestFit="1" customWidth="1"/>
    <col min="5909" max="5909" width="2.8984375" style="4" customWidth="1"/>
    <col min="5910" max="6144" width="9" style="4"/>
    <col min="6145" max="6145" width="8.09765625" style="4" customWidth="1"/>
    <col min="6146" max="6146" width="13.296875" style="4" customWidth="1"/>
    <col min="6147" max="6147" width="10.796875" style="4" customWidth="1"/>
    <col min="6148" max="6148" width="11.296875" style="4" customWidth="1"/>
    <col min="6149" max="6149" width="0" style="4" hidden="1" customWidth="1"/>
    <col min="6150" max="6151" width="2.8984375" style="4" bestFit="1" customWidth="1"/>
    <col min="6152" max="6152" width="2.8984375" style="4" customWidth="1"/>
    <col min="6153" max="6154" width="2.8984375" style="4" bestFit="1" customWidth="1"/>
    <col min="6155" max="6163" width="2.8984375" style="4" customWidth="1"/>
    <col min="6164" max="6164" width="2.8984375" style="4" bestFit="1" customWidth="1"/>
    <col min="6165" max="6165" width="2.8984375" style="4" customWidth="1"/>
    <col min="6166" max="6400" width="9" style="4"/>
    <col min="6401" max="6401" width="8.09765625" style="4" customWidth="1"/>
    <col min="6402" max="6402" width="13.296875" style="4" customWidth="1"/>
    <col min="6403" max="6403" width="10.796875" style="4" customWidth="1"/>
    <col min="6404" max="6404" width="11.296875" style="4" customWidth="1"/>
    <col min="6405" max="6405" width="0" style="4" hidden="1" customWidth="1"/>
    <col min="6406" max="6407" width="2.8984375" style="4" bestFit="1" customWidth="1"/>
    <col min="6408" max="6408" width="2.8984375" style="4" customWidth="1"/>
    <col min="6409" max="6410" width="2.8984375" style="4" bestFit="1" customWidth="1"/>
    <col min="6411" max="6419" width="2.8984375" style="4" customWidth="1"/>
    <col min="6420" max="6420" width="2.8984375" style="4" bestFit="1" customWidth="1"/>
    <col min="6421" max="6421" width="2.8984375" style="4" customWidth="1"/>
    <col min="6422" max="6656" width="9" style="4"/>
    <col min="6657" max="6657" width="8.09765625" style="4" customWidth="1"/>
    <col min="6658" max="6658" width="13.296875" style="4" customWidth="1"/>
    <col min="6659" max="6659" width="10.796875" style="4" customWidth="1"/>
    <col min="6660" max="6660" width="11.296875" style="4" customWidth="1"/>
    <col min="6661" max="6661" width="0" style="4" hidden="1" customWidth="1"/>
    <col min="6662" max="6663" width="2.8984375" style="4" bestFit="1" customWidth="1"/>
    <col min="6664" max="6664" width="2.8984375" style="4" customWidth="1"/>
    <col min="6665" max="6666" width="2.8984375" style="4" bestFit="1" customWidth="1"/>
    <col min="6667" max="6675" width="2.8984375" style="4" customWidth="1"/>
    <col min="6676" max="6676" width="2.8984375" style="4" bestFit="1" customWidth="1"/>
    <col min="6677" max="6677" width="2.8984375" style="4" customWidth="1"/>
    <col min="6678" max="6912" width="9" style="4"/>
    <col min="6913" max="6913" width="8.09765625" style="4" customWidth="1"/>
    <col min="6914" max="6914" width="13.296875" style="4" customWidth="1"/>
    <col min="6915" max="6915" width="10.796875" style="4" customWidth="1"/>
    <col min="6916" max="6916" width="11.296875" style="4" customWidth="1"/>
    <col min="6917" max="6917" width="0" style="4" hidden="1" customWidth="1"/>
    <col min="6918" max="6919" width="2.8984375" style="4" bestFit="1" customWidth="1"/>
    <col min="6920" max="6920" width="2.8984375" style="4" customWidth="1"/>
    <col min="6921" max="6922" width="2.8984375" style="4" bestFit="1" customWidth="1"/>
    <col min="6923" max="6931" width="2.8984375" style="4" customWidth="1"/>
    <col min="6932" max="6932" width="2.8984375" style="4" bestFit="1" customWidth="1"/>
    <col min="6933" max="6933" width="2.8984375" style="4" customWidth="1"/>
    <col min="6934" max="7168" width="9" style="4"/>
    <col min="7169" max="7169" width="8.09765625" style="4" customWidth="1"/>
    <col min="7170" max="7170" width="13.296875" style="4" customWidth="1"/>
    <col min="7171" max="7171" width="10.796875" style="4" customWidth="1"/>
    <col min="7172" max="7172" width="11.296875" style="4" customWidth="1"/>
    <col min="7173" max="7173" width="0" style="4" hidden="1" customWidth="1"/>
    <col min="7174" max="7175" width="2.8984375" style="4" bestFit="1" customWidth="1"/>
    <col min="7176" max="7176" width="2.8984375" style="4" customWidth="1"/>
    <col min="7177" max="7178" width="2.8984375" style="4" bestFit="1" customWidth="1"/>
    <col min="7179" max="7187" width="2.8984375" style="4" customWidth="1"/>
    <col min="7188" max="7188" width="2.8984375" style="4" bestFit="1" customWidth="1"/>
    <col min="7189" max="7189" width="2.8984375" style="4" customWidth="1"/>
    <col min="7190" max="7424" width="9" style="4"/>
    <col min="7425" max="7425" width="8.09765625" style="4" customWidth="1"/>
    <col min="7426" max="7426" width="13.296875" style="4" customWidth="1"/>
    <col min="7427" max="7427" width="10.796875" style="4" customWidth="1"/>
    <col min="7428" max="7428" width="11.296875" style="4" customWidth="1"/>
    <col min="7429" max="7429" width="0" style="4" hidden="1" customWidth="1"/>
    <col min="7430" max="7431" width="2.8984375" style="4" bestFit="1" customWidth="1"/>
    <col min="7432" max="7432" width="2.8984375" style="4" customWidth="1"/>
    <col min="7433" max="7434" width="2.8984375" style="4" bestFit="1" customWidth="1"/>
    <col min="7435" max="7443" width="2.8984375" style="4" customWidth="1"/>
    <col min="7444" max="7444" width="2.8984375" style="4" bestFit="1" customWidth="1"/>
    <col min="7445" max="7445" width="2.8984375" style="4" customWidth="1"/>
    <col min="7446" max="7680" width="9" style="4"/>
    <col min="7681" max="7681" width="8.09765625" style="4" customWidth="1"/>
    <col min="7682" max="7682" width="13.296875" style="4" customWidth="1"/>
    <col min="7683" max="7683" width="10.796875" style="4" customWidth="1"/>
    <col min="7684" max="7684" width="11.296875" style="4" customWidth="1"/>
    <col min="7685" max="7685" width="0" style="4" hidden="1" customWidth="1"/>
    <col min="7686" max="7687" width="2.8984375" style="4" bestFit="1" customWidth="1"/>
    <col min="7688" max="7688" width="2.8984375" style="4" customWidth="1"/>
    <col min="7689" max="7690" width="2.8984375" style="4" bestFit="1" customWidth="1"/>
    <col min="7691" max="7699" width="2.8984375" style="4" customWidth="1"/>
    <col min="7700" max="7700" width="2.8984375" style="4" bestFit="1" customWidth="1"/>
    <col min="7701" max="7701" width="2.8984375" style="4" customWidth="1"/>
    <col min="7702" max="7936" width="9" style="4"/>
    <col min="7937" max="7937" width="8.09765625" style="4" customWidth="1"/>
    <col min="7938" max="7938" width="13.296875" style="4" customWidth="1"/>
    <col min="7939" max="7939" width="10.796875" style="4" customWidth="1"/>
    <col min="7940" max="7940" width="11.296875" style="4" customWidth="1"/>
    <col min="7941" max="7941" width="0" style="4" hidden="1" customWidth="1"/>
    <col min="7942" max="7943" width="2.8984375" style="4" bestFit="1" customWidth="1"/>
    <col min="7944" max="7944" width="2.8984375" style="4" customWidth="1"/>
    <col min="7945" max="7946" width="2.8984375" style="4" bestFit="1" customWidth="1"/>
    <col min="7947" max="7955" width="2.8984375" style="4" customWidth="1"/>
    <col min="7956" max="7956" width="2.8984375" style="4" bestFit="1" customWidth="1"/>
    <col min="7957" max="7957" width="2.8984375" style="4" customWidth="1"/>
    <col min="7958" max="8192" width="9" style="4"/>
    <col min="8193" max="8193" width="8.09765625" style="4" customWidth="1"/>
    <col min="8194" max="8194" width="13.296875" style="4" customWidth="1"/>
    <col min="8195" max="8195" width="10.796875" style="4" customWidth="1"/>
    <col min="8196" max="8196" width="11.296875" style="4" customWidth="1"/>
    <col min="8197" max="8197" width="0" style="4" hidden="1" customWidth="1"/>
    <col min="8198" max="8199" width="2.8984375" style="4" bestFit="1" customWidth="1"/>
    <col min="8200" max="8200" width="2.8984375" style="4" customWidth="1"/>
    <col min="8201" max="8202" width="2.8984375" style="4" bestFit="1" customWidth="1"/>
    <col min="8203" max="8211" width="2.8984375" style="4" customWidth="1"/>
    <col min="8212" max="8212" width="2.8984375" style="4" bestFit="1" customWidth="1"/>
    <col min="8213" max="8213" width="2.8984375" style="4" customWidth="1"/>
    <col min="8214" max="8448" width="9" style="4"/>
    <col min="8449" max="8449" width="8.09765625" style="4" customWidth="1"/>
    <col min="8450" max="8450" width="13.296875" style="4" customWidth="1"/>
    <col min="8451" max="8451" width="10.796875" style="4" customWidth="1"/>
    <col min="8452" max="8452" width="11.296875" style="4" customWidth="1"/>
    <col min="8453" max="8453" width="0" style="4" hidden="1" customWidth="1"/>
    <col min="8454" max="8455" width="2.8984375" style="4" bestFit="1" customWidth="1"/>
    <col min="8456" max="8456" width="2.8984375" style="4" customWidth="1"/>
    <col min="8457" max="8458" width="2.8984375" style="4" bestFit="1" customWidth="1"/>
    <col min="8459" max="8467" width="2.8984375" style="4" customWidth="1"/>
    <col min="8468" max="8468" width="2.8984375" style="4" bestFit="1" customWidth="1"/>
    <col min="8469" max="8469" width="2.8984375" style="4" customWidth="1"/>
    <col min="8470" max="8704" width="9" style="4"/>
    <col min="8705" max="8705" width="8.09765625" style="4" customWidth="1"/>
    <col min="8706" max="8706" width="13.296875" style="4" customWidth="1"/>
    <col min="8707" max="8707" width="10.796875" style="4" customWidth="1"/>
    <col min="8708" max="8708" width="11.296875" style="4" customWidth="1"/>
    <col min="8709" max="8709" width="0" style="4" hidden="1" customWidth="1"/>
    <col min="8710" max="8711" width="2.8984375" style="4" bestFit="1" customWidth="1"/>
    <col min="8712" max="8712" width="2.8984375" style="4" customWidth="1"/>
    <col min="8713" max="8714" width="2.8984375" style="4" bestFit="1" customWidth="1"/>
    <col min="8715" max="8723" width="2.8984375" style="4" customWidth="1"/>
    <col min="8724" max="8724" width="2.8984375" style="4" bestFit="1" customWidth="1"/>
    <col min="8725" max="8725" width="2.8984375" style="4" customWidth="1"/>
    <col min="8726" max="8960" width="9" style="4"/>
    <col min="8961" max="8961" width="8.09765625" style="4" customWidth="1"/>
    <col min="8962" max="8962" width="13.296875" style="4" customWidth="1"/>
    <col min="8963" max="8963" width="10.796875" style="4" customWidth="1"/>
    <col min="8964" max="8964" width="11.296875" style="4" customWidth="1"/>
    <col min="8965" max="8965" width="0" style="4" hidden="1" customWidth="1"/>
    <col min="8966" max="8967" width="2.8984375" style="4" bestFit="1" customWidth="1"/>
    <col min="8968" max="8968" width="2.8984375" style="4" customWidth="1"/>
    <col min="8969" max="8970" width="2.8984375" style="4" bestFit="1" customWidth="1"/>
    <col min="8971" max="8979" width="2.8984375" style="4" customWidth="1"/>
    <col min="8980" max="8980" width="2.8984375" style="4" bestFit="1" customWidth="1"/>
    <col min="8981" max="8981" width="2.8984375" style="4" customWidth="1"/>
    <col min="8982" max="9216" width="9" style="4"/>
    <col min="9217" max="9217" width="8.09765625" style="4" customWidth="1"/>
    <col min="9218" max="9218" width="13.296875" style="4" customWidth="1"/>
    <col min="9219" max="9219" width="10.796875" style="4" customWidth="1"/>
    <col min="9220" max="9220" width="11.296875" style="4" customWidth="1"/>
    <col min="9221" max="9221" width="0" style="4" hidden="1" customWidth="1"/>
    <col min="9222" max="9223" width="2.8984375" style="4" bestFit="1" customWidth="1"/>
    <col min="9224" max="9224" width="2.8984375" style="4" customWidth="1"/>
    <col min="9225" max="9226" width="2.8984375" style="4" bestFit="1" customWidth="1"/>
    <col min="9227" max="9235" width="2.8984375" style="4" customWidth="1"/>
    <col min="9236" max="9236" width="2.8984375" style="4" bestFit="1" customWidth="1"/>
    <col min="9237" max="9237" width="2.8984375" style="4" customWidth="1"/>
    <col min="9238" max="9472" width="9" style="4"/>
    <col min="9473" max="9473" width="8.09765625" style="4" customWidth="1"/>
    <col min="9474" max="9474" width="13.296875" style="4" customWidth="1"/>
    <col min="9475" max="9475" width="10.796875" style="4" customWidth="1"/>
    <col min="9476" max="9476" width="11.296875" style="4" customWidth="1"/>
    <col min="9477" max="9477" width="0" style="4" hidden="1" customWidth="1"/>
    <col min="9478" max="9479" width="2.8984375" style="4" bestFit="1" customWidth="1"/>
    <col min="9480" max="9480" width="2.8984375" style="4" customWidth="1"/>
    <col min="9481" max="9482" width="2.8984375" style="4" bestFit="1" customWidth="1"/>
    <col min="9483" max="9491" width="2.8984375" style="4" customWidth="1"/>
    <col min="9492" max="9492" width="2.8984375" style="4" bestFit="1" customWidth="1"/>
    <col min="9493" max="9493" width="2.8984375" style="4" customWidth="1"/>
    <col min="9494" max="9728" width="9" style="4"/>
    <col min="9729" max="9729" width="8.09765625" style="4" customWidth="1"/>
    <col min="9730" max="9730" width="13.296875" style="4" customWidth="1"/>
    <col min="9731" max="9731" width="10.796875" style="4" customWidth="1"/>
    <col min="9732" max="9732" width="11.296875" style="4" customWidth="1"/>
    <col min="9733" max="9733" width="0" style="4" hidden="1" customWidth="1"/>
    <col min="9734" max="9735" width="2.8984375" style="4" bestFit="1" customWidth="1"/>
    <col min="9736" max="9736" width="2.8984375" style="4" customWidth="1"/>
    <col min="9737" max="9738" width="2.8984375" style="4" bestFit="1" customWidth="1"/>
    <col min="9739" max="9747" width="2.8984375" style="4" customWidth="1"/>
    <col min="9748" max="9748" width="2.8984375" style="4" bestFit="1" customWidth="1"/>
    <col min="9749" max="9749" width="2.8984375" style="4" customWidth="1"/>
    <col min="9750" max="9984" width="9" style="4"/>
    <col min="9985" max="9985" width="8.09765625" style="4" customWidth="1"/>
    <col min="9986" max="9986" width="13.296875" style="4" customWidth="1"/>
    <col min="9987" max="9987" width="10.796875" style="4" customWidth="1"/>
    <col min="9988" max="9988" width="11.296875" style="4" customWidth="1"/>
    <col min="9989" max="9989" width="0" style="4" hidden="1" customWidth="1"/>
    <col min="9990" max="9991" width="2.8984375" style="4" bestFit="1" customWidth="1"/>
    <col min="9992" max="9992" width="2.8984375" style="4" customWidth="1"/>
    <col min="9993" max="9994" width="2.8984375" style="4" bestFit="1" customWidth="1"/>
    <col min="9995" max="10003" width="2.8984375" style="4" customWidth="1"/>
    <col min="10004" max="10004" width="2.8984375" style="4" bestFit="1" customWidth="1"/>
    <col min="10005" max="10005" width="2.8984375" style="4" customWidth="1"/>
    <col min="10006" max="10240" width="9" style="4"/>
    <col min="10241" max="10241" width="8.09765625" style="4" customWidth="1"/>
    <col min="10242" max="10242" width="13.296875" style="4" customWidth="1"/>
    <col min="10243" max="10243" width="10.796875" style="4" customWidth="1"/>
    <col min="10244" max="10244" width="11.296875" style="4" customWidth="1"/>
    <col min="10245" max="10245" width="0" style="4" hidden="1" customWidth="1"/>
    <col min="10246" max="10247" width="2.8984375" style="4" bestFit="1" customWidth="1"/>
    <col min="10248" max="10248" width="2.8984375" style="4" customWidth="1"/>
    <col min="10249" max="10250" width="2.8984375" style="4" bestFit="1" customWidth="1"/>
    <col min="10251" max="10259" width="2.8984375" style="4" customWidth="1"/>
    <col min="10260" max="10260" width="2.8984375" style="4" bestFit="1" customWidth="1"/>
    <col min="10261" max="10261" width="2.8984375" style="4" customWidth="1"/>
    <col min="10262" max="10496" width="9" style="4"/>
    <col min="10497" max="10497" width="8.09765625" style="4" customWidth="1"/>
    <col min="10498" max="10498" width="13.296875" style="4" customWidth="1"/>
    <col min="10499" max="10499" width="10.796875" style="4" customWidth="1"/>
    <col min="10500" max="10500" width="11.296875" style="4" customWidth="1"/>
    <col min="10501" max="10501" width="0" style="4" hidden="1" customWidth="1"/>
    <col min="10502" max="10503" width="2.8984375" style="4" bestFit="1" customWidth="1"/>
    <col min="10504" max="10504" width="2.8984375" style="4" customWidth="1"/>
    <col min="10505" max="10506" width="2.8984375" style="4" bestFit="1" customWidth="1"/>
    <col min="10507" max="10515" width="2.8984375" style="4" customWidth="1"/>
    <col min="10516" max="10516" width="2.8984375" style="4" bestFit="1" customWidth="1"/>
    <col min="10517" max="10517" width="2.8984375" style="4" customWidth="1"/>
    <col min="10518" max="10752" width="9" style="4"/>
    <col min="10753" max="10753" width="8.09765625" style="4" customWidth="1"/>
    <col min="10754" max="10754" width="13.296875" style="4" customWidth="1"/>
    <col min="10755" max="10755" width="10.796875" style="4" customWidth="1"/>
    <col min="10756" max="10756" width="11.296875" style="4" customWidth="1"/>
    <col min="10757" max="10757" width="0" style="4" hidden="1" customWidth="1"/>
    <col min="10758" max="10759" width="2.8984375" style="4" bestFit="1" customWidth="1"/>
    <col min="10760" max="10760" width="2.8984375" style="4" customWidth="1"/>
    <col min="10761" max="10762" width="2.8984375" style="4" bestFit="1" customWidth="1"/>
    <col min="10763" max="10771" width="2.8984375" style="4" customWidth="1"/>
    <col min="10772" max="10772" width="2.8984375" style="4" bestFit="1" customWidth="1"/>
    <col min="10773" max="10773" width="2.8984375" style="4" customWidth="1"/>
    <col min="10774" max="11008" width="9" style="4"/>
    <col min="11009" max="11009" width="8.09765625" style="4" customWidth="1"/>
    <col min="11010" max="11010" width="13.296875" style="4" customWidth="1"/>
    <col min="11011" max="11011" width="10.796875" style="4" customWidth="1"/>
    <col min="11012" max="11012" width="11.296875" style="4" customWidth="1"/>
    <col min="11013" max="11013" width="0" style="4" hidden="1" customWidth="1"/>
    <col min="11014" max="11015" width="2.8984375" style="4" bestFit="1" customWidth="1"/>
    <col min="11016" max="11016" width="2.8984375" style="4" customWidth="1"/>
    <col min="11017" max="11018" width="2.8984375" style="4" bestFit="1" customWidth="1"/>
    <col min="11019" max="11027" width="2.8984375" style="4" customWidth="1"/>
    <col min="11028" max="11028" width="2.8984375" style="4" bestFit="1" customWidth="1"/>
    <col min="11029" max="11029" width="2.8984375" style="4" customWidth="1"/>
    <col min="11030" max="11264" width="9" style="4"/>
    <col min="11265" max="11265" width="8.09765625" style="4" customWidth="1"/>
    <col min="11266" max="11266" width="13.296875" style="4" customWidth="1"/>
    <col min="11267" max="11267" width="10.796875" style="4" customWidth="1"/>
    <col min="11268" max="11268" width="11.296875" style="4" customWidth="1"/>
    <col min="11269" max="11269" width="0" style="4" hidden="1" customWidth="1"/>
    <col min="11270" max="11271" width="2.8984375" style="4" bestFit="1" customWidth="1"/>
    <col min="11272" max="11272" width="2.8984375" style="4" customWidth="1"/>
    <col min="11273" max="11274" width="2.8984375" style="4" bestFit="1" customWidth="1"/>
    <col min="11275" max="11283" width="2.8984375" style="4" customWidth="1"/>
    <col min="11284" max="11284" width="2.8984375" style="4" bestFit="1" customWidth="1"/>
    <col min="11285" max="11285" width="2.8984375" style="4" customWidth="1"/>
    <col min="11286" max="11520" width="9" style="4"/>
    <col min="11521" max="11521" width="8.09765625" style="4" customWidth="1"/>
    <col min="11522" max="11522" width="13.296875" style="4" customWidth="1"/>
    <col min="11523" max="11523" width="10.796875" style="4" customWidth="1"/>
    <col min="11524" max="11524" width="11.296875" style="4" customWidth="1"/>
    <col min="11525" max="11525" width="0" style="4" hidden="1" customWidth="1"/>
    <col min="11526" max="11527" width="2.8984375" style="4" bestFit="1" customWidth="1"/>
    <col min="11528" max="11528" width="2.8984375" style="4" customWidth="1"/>
    <col min="11529" max="11530" width="2.8984375" style="4" bestFit="1" customWidth="1"/>
    <col min="11531" max="11539" width="2.8984375" style="4" customWidth="1"/>
    <col min="11540" max="11540" width="2.8984375" style="4" bestFit="1" customWidth="1"/>
    <col min="11541" max="11541" width="2.8984375" style="4" customWidth="1"/>
    <col min="11542" max="11776" width="9" style="4"/>
    <col min="11777" max="11777" width="8.09765625" style="4" customWidth="1"/>
    <col min="11778" max="11778" width="13.296875" style="4" customWidth="1"/>
    <col min="11779" max="11779" width="10.796875" style="4" customWidth="1"/>
    <col min="11780" max="11780" width="11.296875" style="4" customWidth="1"/>
    <col min="11781" max="11781" width="0" style="4" hidden="1" customWidth="1"/>
    <col min="11782" max="11783" width="2.8984375" style="4" bestFit="1" customWidth="1"/>
    <col min="11784" max="11784" width="2.8984375" style="4" customWidth="1"/>
    <col min="11785" max="11786" width="2.8984375" style="4" bestFit="1" customWidth="1"/>
    <col min="11787" max="11795" width="2.8984375" style="4" customWidth="1"/>
    <col min="11796" max="11796" width="2.8984375" style="4" bestFit="1" customWidth="1"/>
    <col min="11797" max="11797" width="2.8984375" style="4" customWidth="1"/>
    <col min="11798" max="12032" width="9" style="4"/>
    <col min="12033" max="12033" width="8.09765625" style="4" customWidth="1"/>
    <col min="12034" max="12034" width="13.296875" style="4" customWidth="1"/>
    <col min="12035" max="12035" width="10.796875" style="4" customWidth="1"/>
    <col min="12036" max="12036" width="11.296875" style="4" customWidth="1"/>
    <col min="12037" max="12037" width="0" style="4" hidden="1" customWidth="1"/>
    <col min="12038" max="12039" width="2.8984375" style="4" bestFit="1" customWidth="1"/>
    <col min="12040" max="12040" width="2.8984375" style="4" customWidth="1"/>
    <col min="12041" max="12042" width="2.8984375" style="4" bestFit="1" customWidth="1"/>
    <col min="12043" max="12051" width="2.8984375" style="4" customWidth="1"/>
    <col min="12052" max="12052" width="2.8984375" style="4" bestFit="1" customWidth="1"/>
    <col min="12053" max="12053" width="2.8984375" style="4" customWidth="1"/>
    <col min="12054" max="12288" width="9" style="4"/>
    <col min="12289" max="12289" width="8.09765625" style="4" customWidth="1"/>
    <col min="12290" max="12290" width="13.296875" style="4" customWidth="1"/>
    <col min="12291" max="12291" width="10.796875" style="4" customWidth="1"/>
    <col min="12292" max="12292" width="11.296875" style="4" customWidth="1"/>
    <col min="12293" max="12293" width="0" style="4" hidden="1" customWidth="1"/>
    <col min="12294" max="12295" width="2.8984375" style="4" bestFit="1" customWidth="1"/>
    <col min="12296" max="12296" width="2.8984375" style="4" customWidth="1"/>
    <col min="12297" max="12298" width="2.8984375" style="4" bestFit="1" customWidth="1"/>
    <col min="12299" max="12307" width="2.8984375" style="4" customWidth="1"/>
    <col min="12308" max="12308" width="2.8984375" style="4" bestFit="1" customWidth="1"/>
    <col min="12309" max="12309" width="2.8984375" style="4" customWidth="1"/>
    <col min="12310" max="12544" width="9" style="4"/>
    <col min="12545" max="12545" width="8.09765625" style="4" customWidth="1"/>
    <col min="12546" max="12546" width="13.296875" style="4" customWidth="1"/>
    <col min="12547" max="12547" width="10.796875" style="4" customWidth="1"/>
    <col min="12548" max="12548" width="11.296875" style="4" customWidth="1"/>
    <col min="12549" max="12549" width="0" style="4" hidden="1" customWidth="1"/>
    <col min="12550" max="12551" width="2.8984375" style="4" bestFit="1" customWidth="1"/>
    <col min="12552" max="12552" width="2.8984375" style="4" customWidth="1"/>
    <col min="12553" max="12554" width="2.8984375" style="4" bestFit="1" customWidth="1"/>
    <col min="12555" max="12563" width="2.8984375" style="4" customWidth="1"/>
    <col min="12564" max="12564" width="2.8984375" style="4" bestFit="1" customWidth="1"/>
    <col min="12565" max="12565" width="2.8984375" style="4" customWidth="1"/>
    <col min="12566" max="12800" width="9" style="4"/>
    <col min="12801" max="12801" width="8.09765625" style="4" customWidth="1"/>
    <col min="12802" max="12802" width="13.296875" style="4" customWidth="1"/>
    <col min="12803" max="12803" width="10.796875" style="4" customWidth="1"/>
    <col min="12804" max="12804" width="11.296875" style="4" customWidth="1"/>
    <col min="12805" max="12805" width="0" style="4" hidden="1" customWidth="1"/>
    <col min="12806" max="12807" width="2.8984375" style="4" bestFit="1" customWidth="1"/>
    <col min="12808" max="12808" width="2.8984375" style="4" customWidth="1"/>
    <col min="12809" max="12810" width="2.8984375" style="4" bestFit="1" customWidth="1"/>
    <col min="12811" max="12819" width="2.8984375" style="4" customWidth="1"/>
    <col min="12820" max="12820" width="2.8984375" style="4" bestFit="1" customWidth="1"/>
    <col min="12821" max="12821" width="2.8984375" style="4" customWidth="1"/>
    <col min="12822" max="13056" width="9" style="4"/>
    <col min="13057" max="13057" width="8.09765625" style="4" customWidth="1"/>
    <col min="13058" max="13058" width="13.296875" style="4" customWidth="1"/>
    <col min="13059" max="13059" width="10.796875" style="4" customWidth="1"/>
    <col min="13060" max="13060" width="11.296875" style="4" customWidth="1"/>
    <col min="13061" max="13061" width="0" style="4" hidden="1" customWidth="1"/>
    <col min="13062" max="13063" width="2.8984375" style="4" bestFit="1" customWidth="1"/>
    <col min="13064" max="13064" width="2.8984375" style="4" customWidth="1"/>
    <col min="13065" max="13066" width="2.8984375" style="4" bestFit="1" customWidth="1"/>
    <col min="13067" max="13075" width="2.8984375" style="4" customWidth="1"/>
    <col min="13076" max="13076" width="2.8984375" style="4" bestFit="1" customWidth="1"/>
    <col min="13077" max="13077" width="2.8984375" style="4" customWidth="1"/>
    <col min="13078" max="13312" width="9" style="4"/>
    <col min="13313" max="13313" width="8.09765625" style="4" customWidth="1"/>
    <col min="13314" max="13314" width="13.296875" style="4" customWidth="1"/>
    <col min="13315" max="13315" width="10.796875" style="4" customWidth="1"/>
    <col min="13316" max="13316" width="11.296875" style="4" customWidth="1"/>
    <col min="13317" max="13317" width="0" style="4" hidden="1" customWidth="1"/>
    <col min="13318" max="13319" width="2.8984375" style="4" bestFit="1" customWidth="1"/>
    <col min="13320" max="13320" width="2.8984375" style="4" customWidth="1"/>
    <col min="13321" max="13322" width="2.8984375" style="4" bestFit="1" customWidth="1"/>
    <col min="13323" max="13331" width="2.8984375" style="4" customWidth="1"/>
    <col min="13332" max="13332" width="2.8984375" style="4" bestFit="1" customWidth="1"/>
    <col min="13333" max="13333" width="2.8984375" style="4" customWidth="1"/>
    <col min="13334" max="13568" width="9" style="4"/>
    <col min="13569" max="13569" width="8.09765625" style="4" customWidth="1"/>
    <col min="13570" max="13570" width="13.296875" style="4" customWidth="1"/>
    <col min="13571" max="13571" width="10.796875" style="4" customWidth="1"/>
    <col min="13572" max="13572" width="11.296875" style="4" customWidth="1"/>
    <col min="13573" max="13573" width="0" style="4" hidden="1" customWidth="1"/>
    <col min="13574" max="13575" width="2.8984375" style="4" bestFit="1" customWidth="1"/>
    <col min="13576" max="13576" width="2.8984375" style="4" customWidth="1"/>
    <col min="13577" max="13578" width="2.8984375" style="4" bestFit="1" customWidth="1"/>
    <col min="13579" max="13587" width="2.8984375" style="4" customWidth="1"/>
    <col min="13588" max="13588" width="2.8984375" style="4" bestFit="1" customWidth="1"/>
    <col min="13589" max="13589" width="2.8984375" style="4" customWidth="1"/>
    <col min="13590" max="13824" width="9" style="4"/>
    <col min="13825" max="13825" width="8.09765625" style="4" customWidth="1"/>
    <col min="13826" max="13826" width="13.296875" style="4" customWidth="1"/>
    <col min="13827" max="13827" width="10.796875" style="4" customWidth="1"/>
    <col min="13828" max="13828" width="11.296875" style="4" customWidth="1"/>
    <col min="13829" max="13829" width="0" style="4" hidden="1" customWidth="1"/>
    <col min="13830" max="13831" width="2.8984375" style="4" bestFit="1" customWidth="1"/>
    <col min="13832" max="13832" width="2.8984375" style="4" customWidth="1"/>
    <col min="13833" max="13834" width="2.8984375" style="4" bestFit="1" customWidth="1"/>
    <col min="13835" max="13843" width="2.8984375" style="4" customWidth="1"/>
    <col min="13844" max="13844" width="2.8984375" style="4" bestFit="1" customWidth="1"/>
    <col min="13845" max="13845" width="2.8984375" style="4" customWidth="1"/>
    <col min="13846" max="14080" width="9" style="4"/>
    <col min="14081" max="14081" width="8.09765625" style="4" customWidth="1"/>
    <col min="14082" max="14082" width="13.296875" style="4" customWidth="1"/>
    <col min="14083" max="14083" width="10.796875" style="4" customWidth="1"/>
    <col min="14084" max="14084" width="11.296875" style="4" customWidth="1"/>
    <col min="14085" max="14085" width="0" style="4" hidden="1" customWidth="1"/>
    <col min="14086" max="14087" width="2.8984375" style="4" bestFit="1" customWidth="1"/>
    <col min="14088" max="14088" width="2.8984375" style="4" customWidth="1"/>
    <col min="14089" max="14090" width="2.8984375" style="4" bestFit="1" customWidth="1"/>
    <col min="14091" max="14099" width="2.8984375" style="4" customWidth="1"/>
    <col min="14100" max="14100" width="2.8984375" style="4" bestFit="1" customWidth="1"/>
    <col min="14101" max="14101" width="2.8984375" style="4" customWidth="1"/>
    <col min="14102" max="14336" width="9" style="4"/>
    <col min="14337" max="14337" width="8.09765625" style="4" customWidth="1"/>
    <col min="14338" max="14338" width="13.296875" style="4" customWidth="1"/>
    <col min="14339" max="14339" width="10.796875" style="4" customWidth="1"/>
    <col min="14340" max="14340" width="11.296875" style="4" customWidth="1"/>
    <col min="14341" max="14341" width="0" style="4" hidden="1" customWidth="1"/>
    <col min="14342" max="14343" width="2.8984375" style="4" bestFit="1" customWidth="1"/>
    <col min="14344" max="14344" width="2.8984375" style="4" customWidth="1"/>
    <col min="14345" max="14346" width="2.8984375" style="4" bestFit="1" customWidth="1"/>
    <col min="14347" max="14355" width="2.8984375" style="4" customWidth="1"/>
    <col min="14356" max="14356" width="2.8984375" style="4" bestFit="1" customWidth="1"/>
    <col min="14357" max="14357" width="2.8984375" style="4" customWidth="1"/>
    <col min="14358" max="14592" width="9" style="4"/>
    <col min="14593" max="14593" width="8.09765625" style="4" customWidth="1"/>
    <col min="14594" max="14594" width="13.296875" style="4" customWidth="1"/>
    <col min="14595" max="14595" width="10.796875" style="4" customWidth="1"/>
    <col min="14596" max="14596" width="11.296875" style="4" customWidth="1"/>
    <col min="14597" max="14597" width="0" style="4" hidden="1" customWidth="1"/>
    <col min="14598" max="14599" width="2.8984375" style="4" bestFit="1" customWidth="1"/>
    <col min="14600" max="14600" width="2.8984375" style="4" customWidth="1"/>
    <col min="14601" max="14602" width="2.8984375" style="4" bestFit="1" customWidth="1"/>
    <col min="14603" max="14611" width="2.8984375" style="4" customWidth="1"/>
    <col min="14612" max="14612" width="2.8984375" style="4" bestFit="1" customWidth="1"/>
    <col min="14613" max="14613" width="2.8984375" style="4" customWidth="1"/>
    <col min="14614" max="14848" width="9" style="4"/>
    <col min="14849" max="14849" width="8.09765625" style="4" customWidth="1"/>
    <col min="14850" max="14850" width="13.296875" style="4" customWidth="1"/>
    <col min="14851" max="14851" width="10.796875" style="4" customWidth="1"/>
    <col min="14852" max="14852" width="11.296875" style="4" customWidth="1"/>
    <col min="14853" max="14853" width="0" style="4" hidden="1" customWidth="1"/>
    <col min="14854" max="14855" width="2.8984375" style="4" bestFit="1" customWidth="1"/>
    <col min="14856" max="14856" width="2.8984375" style="4" customWidth="1"/>
    <col min="14857" max="14858" width="2.8984375" style="4" bestFit="1" customWidth="1"/>
    <col min="14859" max="14867" width="2.8984375" style="4" customWidth="1"/>
    <col min="14868" max="14868" width="2.8984375" style="4" bestFit="1" customWidth="1"/>
    <col min="14869" max="14869" width="2.8984375" style="4" customWidth="1"/>
    <col min="14870" max="15104" width="9" style="4"/>
    <col min="15105" max="15105" width="8.09765625" style="4" customWidth="1"/>
    <col min="15106" max="15106" width="13.296875" style="4" customWidth="1"/>
    <col min="15107" max="15107" width="10.796875" style="4" customWidth="1"/>
    <col min="15108" max="15108" width="11.296875" style="4" customWidth="1"/>
    <col min="15109" max="15109" width="0" style="4" hidden="1" customWidth="1"/>
    <col min="15110" max="15111" width="2.8984375" style="4" bestFit="1" customWidth="1"/>
    <col min="15112" max="15112" width="2.8984375" style="4" customWidth="1"/>
    <col min="15113" max="15114" width="2.8984375" style="4" bestFit="1" customWidth="1"/>
    <col min="15115" max="15123" width="2.8984375" style="4" customWidth="1"/>
    <col min="15124" max="15124" width="2.8984375" style="4" bestFit="1" customWidth="1"/>
    <col min="15125" max="15125" width="2.8984375" style="4" customWidth="1"/>
    <col min="15126" max="15360" width="9" style="4"/>
    <col min="15361" max="15361" width="8.09765625" style="4" customWidth="1"/>
    <col min="15362" max="15362" width="13.296875" style="4" customWidth="1"/>
    <col min="15363" max="15363" width="10.796875" style="4" customWidth="1"/>
    <col min="15364" max="15364" width="11.296875" style="4" customWidth="1"/>
    <col min="15365" max="15365" width="0" style="4" hidden="1" customWidth="1"/>
    <col min="15366" max="15367" width="2.8984375" style="4" bestFit="1" customWidth="1"/>
    <col min="15368" max="15368" width="2.8984375" style="4" customWidth="1"/>
    <col min="15369" max="15370" width="2.8984375" style="4" bestFit="1" customWidth="1"/>
    <col min="15371" max="15379" width="2.8984375" style="4" customWidth="1"/>
    <col min="15380" max="15380" width="2.8984375" style="4" bestFit="1" customWidth="1"/>
    <col min="15381" max="15381" width="2.8984375" style="4" customWidth="1"/>
    <col min="15382" max="15616" width="9" style="4"/>
    <col min="15617" max="15617" width="8.09765625" style="4" customWidth="1"/>
    <col min="15618" max="15618" width="13.296875" style="4" customWidth="1"/>
    <col min="15619" max="15619" width="10.796875" style="4" customWidth="1"/>
    <col min="15620" max="15620" width="11.296875" style="4" customWidth="1"/>
    <col min="15621" max="15621" width="0" style="4" hidden="1" customWidth="1"/>
    <col min="15622" max="15623" width="2.8984375" style="4" bestFit="1" customWidth="1"/>
    <col min="15624" max="15624" width="2.8984375" style="4" customWidth="1"/>
    <col min="15625" max="15626" width="2.8984375" style="4" bestFit="1" customWidth="1"/>
    <col min="15627" max="15635" width="2.8984375" style="4" customWidth="1"/>
    <col min="15636" max="15636" width="2.8984375" style="4" bestFit="1" customWidth="1"/>
    <col min="15637" max="15637" width="2.8984375" style="4" customWidth="1"/>
    <col min="15638" max="15872" width="9" style="4"/>
    <col min="15873" max="15873" width="8.09765625" style="4" customWidth="1"/>
    <col min="15874" max="15874" width="13.296875" style="4" customWidth="1"/>
    <col min="15875" max="15875" width="10.796875" style="4" customWidth="1"/>
    <col min="15876" max="15876" width="11.296875" style="4" customWidth="1"/>
    <col min="15877" max="15877" width="0" style="4" hidden="1" customWidth="1"/>
    <col min="15878" max="15879" width="2.8984375" style="4" bestFit="1" customWidth="1"/>
    <col min="15880" max="15880" width="2.8984375" style="4" customWidth="1"/>
    <col min="15881" max="15882" width="2.8984375" style="4" bestFit="1" customWidth="1"/>
    <col min="15883" max="15891" width="2.8984375" style="4" customWidth="1"/>
    <col min="15892" max="15892" width="2.8984375" style="4" bestFit="1" customWidth="1"/>
    <col min="15893" max="15893" width="2.8984375" style="4" customWidth="1"/>
    <col min="15894" max="16128" width="9" style="4"/>
    <col min="16129" max="16129" width="8.09765625" style="4" customWidth="1"/>
    <col min="16130" max="16130" width="13.296875" style="4" customWidth="1"/>
    <col min="16131" max="16131" width="10.796875" style="4" customWidth="1"/>
    <col min="16132" max="16132" width="11.296875" style="4" customWidth="1"/>
    <col min="16133" max="16133" width="0" style="4" hidden="1" customWidth="1"/>
    <col min="16134" max="16135" width="2.8984375" style="4" bestFit="1" customWidth="1"/>
    <col min="16136" max="16136" width="2.8984375" style="4" customWidth="1"/>
    <col min="16137" max="16138" width="2.8984375" style="4" bestFit="1" customWidth="1"/>
    <col min="16139" max="16147" width="2.8984375" style="4" customWidth="1"/>
    <col min="16148" max="16148" width="2.8984375" style="4" bestFit="1" customWidth="1"/>
    <col min="16149" max="16149" width="2.8984375" style="4" customWidth="1"/>
    <col min="16150" max="16384" width="9" style="4"/>
  </cols>
  <sheetData>
    <row r="1" spans="1:22" ht="13.5" customHeight="1">
      <c r="A1" s="135" t="s">
        <v>4</v>
      </c>
      <c r="B1" s="136"/>
      <c r="C1" s="158" t="s">
        <v>76</v>
      </c>
      <c r="D1" s="159"/>
      <c r="E1" s="160"/>
      <c r="F1" s="137" t="s">
        <v>5</v>
      </c>
      <c r="G1" s="138"/>
      <c r="H1" s="138"/>
      <c r="I1" s="138"/>
      <c r="J1" s="138"/>
      <c r="K1" s="138"/>
      <c r="L1" s="139" t="s">
        <v>77</v>
      </c>
      <c r="M1" s="140"/>
      <c r="N1" s="140"/>
      <c r="O1" s="140"/>
      <c r="P1" s="140"/>
      <c r="Q1" s="140"/>
      <c r="R1" s="140"/>
      <c r="S1" s="140"/>
      <c r="T1" s="141"/>
    </row>
    <row r="2" spans="1:22" ht="13.5" customHeight="1">
      <c r="A2" s="125" t="s">
        <v>6</v>
      </c>
      <c r="B2" s="126"/>
      <c r="C2" s="161" t="s">
        <v>75</v>
      </c>
      <c r="D2" s="142"/>
      <c r="E2" s="162"/>
      <c r="F2" s="127" t="s">
        <v>7</v>
      </c>
      <c r="G2" s="128"/>
      <c r="H2" s="128"/>
      <c r="I2" s="128"/>
      <c r="J2" s="128"/>
      <c r="K2" s="129"/>
      <c r="L2" s="142"/>
      <c r="M2" s="142"/>
      <c r="N2" s="142"/>
      <c r="O2" s="6"/>
      <c r="P2" s="6"/>
      <c r="Q2" s="6"/>
      <c r="R2" s="6"/>
      <c r="S2" s="6"/>
      <c r="T2" s="7"/>
    </row>
    <row r="3" spans="1:22" ht="13.5" customHeight="1">
      <c r="A3" s="125" t="s">
        <v>8</v>
      </c>
      <c r="B3" s="126"/>
      <c r="C3" s="163">
        <v>21</v>
      </c>
      <c r="D3" s="164"/>
      <c r="E3" s="8"/>
      <c r="F3" s="127" t="s">
        <v>9</v>
      </c>
      <c r="G3" s="128"/>
      <c r="H3" s="128"/>
      <c r="I3" s="128"/>
      <c r="J3" s="128"/>
      <c r="K3" s="129"/>
      <c r="L3" s="130">
        <v>-1</v>
      </c>
      <c r="M3" s="131"/>
      <c r="N3" s="131"/>
      <c r="O3" s="131"/>
      <c r="P3" s="131"/>
      <c r="Q3" s="131"/>
      <c r="R3" s="131"/>
      <c r="S3" s="131"/>
      <c r="T3" s="132"/>
    </row>
    <row r="4" spans="1:22" ht="13.5" customHeight="1">
      <c r="A4" s="125" t="s">
        <v>10</v>
      </c>
      <c r="B4" s="126"/>
      <c r="C4" s="133"/>
      <c r="D4" s="133"/>
      <c r="E4" s="133"/>
      <c r="F4" s="134"/>
      <c r="G4" s="134"/>
      <c r="H4" s="134"/>
      <c r="I4" s="134"/>
      <c r="J4" s="134"/>
      <c r="K4" s="134"/>
      <c r="L4" s="133"/>
      <c r="M4" s="133"/>
      <c r="N4" s="133"/>
      <c r="O4" s="133"/>
      <c r="P4" s="133"/>
      <c r="Q4" s="133"/>
      <c r="R4" s="133"/>
      <c r="S4" s="133"/>
      <c r="T4" s="133"/>
    </row>
    <row r="5" spans="1:22" ht="13.5" customHeight="1">
      <c r="A5" s="110" t="s">
        <v>11</v>
      </c>
      <c r="B5" s="111"/>
      <c r="C5" s="112" t="s">
        <v>12</v>
      </c>
      <c r="D5" s="113"/>
      <c r="E5" s="114"/>
      <c r="F5" s="112" t="s">
        <v>13</v>
      </c>
      <c r="G5" s="113"/>
      <c r="H5" s="113"/>
      <c r="I5" s="113"/>
      <c r="J5" s="113"/>
      <c r="K5" s="115"/>
      <c r="L5" s="113" t="s">
        <v>14</v>
      </c>
      <c r="M5" s="113"/>
      <c r="N5" s="113"/>
      <c r="O5" s="116" t="s">
        <v>15</v>
      </c>
      <c r="P5" s="113"/>
      <c r="Q5" s="113"/>
      <c r="R5" s="113"/>
      <c r="S5" s="113"/>
      <c r="T5" s="117"/>
    </row>
    <row r="6" spans="1:22" ht="13.5" customHeight="1" thickBot="1">
      <c r="A6" s="118">
        <f>COUNTIF(F47:HQ47,"P")</f>
        <v>0</v>
      </c>
      <c r="B6" s="119"/>
      <c r="C6" s="120">
        <f>COUNTIF(F47:HQ47,"F")</f>
        <v>0</v>
      </c>
      <c r="D6" s="121"/>
      <c r="E6" s="119"/>
      <c r="F6" s="120">
        <f>SUM(O6,- A6,- C6)</f>
        <v>11</v>
      </c>
      <c r="G6" s="121"/>
      <c r="H6" s="121"/>
      <c r="I6" s="121"/>
      <c r="J6" s="121"/>
      <c r="K6" s="122"/>
      <c r="L6" s="9">
        <f>COUNTIF(E46:HQ46,"N")</f>
        <v>9</v>
      </c>
      <c r="M6" s="9">
        <f>COUNTIF(E46:HQ46,"A")</f>
        <v>2</v>
      </c>
      <c r="N6" s="9">
        <f>COUNTIF(E46:HQ46,"B")</f>
        <v>0</v>
      </c>
      <c r="O6" s="123">
        <f>COUNTA(E8:HT8)</f>
        <v>11</v>
      </c>
      <c r="P6" s="121"/>
      <c r="Q6" s="121"/>
      <c r="R6" s="121"/>
      <c r="S6" s="121"/>
      <c r="T6" s="124"/>
      <c r="U6" s="10"/>
    </row>
    <row r="7" spans="1:22" ht="10.8" thickBot="1"/>
    <row r="8" spans="1:22" ht="46.5" customHeight="1" thickBot="1">
      <c r="A8" s="106"/>
      <c r="B8" s="107"/>
      <c r="C8" s="107"/>
      <c r="D8" s="107"/>
      <c r="E8" s="13"/>
      <c r="F8" s="14" t="s">
        <v>16</v>
      </c>
      <c r="G8" s="14" t="s">
        <v>17</v>
      </c>
      <c r="H8" s="14" t="s">
        <v>18</v>
      </c>
      <c r="I8" s="14" t="s">
        <v>60</v>
      </c>
      <c r="J8" s="14" t="s">
        <v>61</v>
      </c>
      <c r="K8" s="14" t="s">
        <v>62</v>
      </c>
      <c r="L8" s="14" t="s">
        <v>63</v>
      </c>
      <c r="M8" s="14" t="s">
        <v>64</v>
      </c>
      <c r="N8" s="14" t="s">
        <v>65</v>
      </c>
      <c r="O8" s="14" t="s">
        <v>66</v>
      </c>
      <c r="P8" s="14" t="s">
        <v>67</v>
      </c>
      <c r="Q8" s="15"/>
      <c r="R8" s="15"/>
      <c r="S8" s="15"/>
      <c r="T8" s="16"/>
      <c r="U8" s="2"/>
      <c r="V8" s="17"/>
    </row>
    <row r="9" spans="1:22" ht="13.5" customHeight="1">
      <c r="A9" s="18" t="s">
        <v>19</v>
      </c>
      <c r="B9" s="19" t="s">
        <v>20</v>
      </c>
      <c r="C9" s="20"/>
      <c r="D9" s="21"/>
      <c r="E9" s="90"/>
      <c r="F9" s="22"/>
      <c r="G9" s="22"/>
      <c r="H9" s="22"/>
      <c r="I9" s="22"/>
      <c r="J9" s="22"/>
      <c r="K9" s="22"/>
      <c r="L9" s="22"/>
      <c r="M9" s="22"/>
      <c r="N9" s="22"/>
      <c r="O9" s="22"/>
      <c r="P9" s="22"/>
      <c r="Q9" s="22"/>
      <c r="R9" s="22"/>
      <c r="S9" s="22"/>
      <c r="T9" s="23"/>
    </row>
    <row r="10" spans="1:22" ht="13.5" customHeight="1">
      <c r="A10" s="24"/>
      <c r="B10" s="25"/>
      <c r="C10" s="26"/>
      <c r="D10" s="27"/>
      <c r="E10" s="91"/>
      <c r="F10" s="28"/>
      <c r="G10" s="28"/>
      <c r="H10" s="28"/>
      <c r="I10" s="28"/>
      <c r="J10" s="28"/>
      <c r="K10" s="28"/>
      <c r="L10" s="28"/>
      <c r="M10" s="28"/>
      <c r="N10" s="28"/>
      <c r="O10" s="28"/>
      <c r="P10" s="28"/>
      <c r="Q10" s="28"/>
      <c r="R10" s="28"/>
      <c r="S10" s="28"/>
      <c r="T10" s="29"/>
      <c r="V10" s="17"/>
    </row>
    <row r="11" spans="1:22" ht="13.5" customHeight="1">
      <c r="A11" s="24"/>
      <c r="B11" s="25"/>
      <c r="C11" s="26"/>
      <c r="D11" s="27"/>
      <c r="E11" s="91"/>
      <c r="F11" s="28"/>
      <c r="G11" s="28"/>
      <c r="H11" s="28"/>
      <c r="I11" s="28"/>
      <c r="J11" s="28"/>
      <c r="K11" s="28"/>
      <c r="L11" s="28"/>
      <c r="M11" s="28"/>
      <c r="N11" s="28"/>
      <c r="O11" s="28"/>
      <c r="P11" s="28"/>
      <c r="Q11" s="28"/>
      <c r="R11" s="28"/>
      <c r="S11" s="28"/>
      <c r="T11" s="29"/>
    </row>
    <row r="12" spans="1:22" ht="13.5" customHeight="1">
      <c r="A12" s="24"/>
      <c r="B12" s="25" t="s">
        <v>21</v>
      </c>
      <c r="C12" s="26"/>
      <c r="D12" s="27"/>
      <c r="E12" s="30"/>
      <c r="F12" s="28"/>
      <c r="G12" s="28"/>
      <c r="H12" s="28"/>
      <c r="I12" s="28"/>
      <c r="J12" s="28"/>
      <c r="K12" s="28"/>
      <c r="L12" s="28"/>
      <c r="M12" s="28"/>
      <c r="N12" s="28"/>
      <c r="O12" s="28"/>
      <c r="P12" s="28"/>
      <c r="Q12" s="28"/>
      <c r="R12" s="28"/>
      <c r="S12" s="28"/>
      <c r="T12" s="29"/>
    </row>
    <row r="13" spans="1:22" ht="15.6" customHeight="1">
      <c r="A13" s="24"/>
      <c r="B13" s="25" t="s">
        <v>53</v>
      </c>
      <c r="C13" s="26"/>
      <c r="D13" s="27"/>
      <c r="E13" s="92"/>
      <c r="F13" s="28"/>
      <c r="G13" s="28"/>
      <c r="H13" s="28"/>
      <c r="I13" s="28"/>
      <c r="J13" s="28"/>
      <c r="K13" s="28"/>
      <c r="L13" s="28"/>
      <c r="M13" s="28"/>
      <c r="N13" s="28"/>
      <c r="O13" s="28"/>
      <c r="P13" s="28"/>
      <c r="Q13" s="28"/>
      <c r="R13" s="28"/>
      <c r="S13" s="28"/>
      <c r="T13" s="29"/>
    </row>
    <row r="14" spans="1:22" ht="13.5" customHeight="1">
      <c r="A14" s="24"/>
      <c r="B14" s="25"/>
      <c r="C14" s="26"/>
      <c r="D14" s="33" t="s">
        <v>68</v>
      </c>
      <c r="E14" s="92"/>
      <c r="F14" s="28" t="s">
        <v>22</v>
      </c>
      <c r="G14" s="28" t="s">
        <v>22</v>
      </c>
      <c r="H14" s="28" t="s">
        <v>22</v>
      </c>
      <c r="I14" s="28"/>
      <c r="J14" s="28"/>
      <c r="K14" s="28"/>
      <c r="L14" s="28"/>
      <c r="M14" s="28"/>
      <c r="N14" s="28"/>
      <c r="O14" s="28" t="s">
        <v>22</v>
      </c>
      <c r="P14" s="28"/>
      <c r="Q14" s="28"/>
      <c r="R14" s="28"/>
      <c r="S14" s="28"/>
      <c r="T14" s="29"/>
    </row>
    <row r="15" spans="1:22" ht="13.5" customHeight="1">
      <c r="A15" s="24"/>
      <c r="B15" s="25"/>
      <c r="C15" s="26"/>
      <c r="D15" s="33" t="s">
        <v>69</v>
      </c>
      <c r="E15" s="92"/>
      <c r="F15" s="28"/>
      <c r="G15" s="28"/>
      <c r="H15" s="28"/>
      <c r="I15" s="28" t="s">
        <v>22</v>
      </c>
      <c r="J15" s="28" t="s">
        <v>22</v>
      </c>
      <c r="K15" s="28" t="s">
        <v>22</v>
      </c>
      <c r="L15" s="28"/>
      <c r="M15" s="28"/>
      <c r="N15" s="28"/>
      <c r="O15" s="28"/>
      <c r="P15" s="28"/>
      <c r="Q15" s="28"/>
      <c r="R15" s="28"/>
      <c r="S15" s="28"/>
      <c r="T15" s="29"/>
    </row>
    <row r="16" spans="1:22" ht="13.5" customHeight="1">
      <c r="A16" s="24"/>
      <c r="B16" s="25"/>
      <c r="C16" s="26"/>
      <c r="D16" s="33" t="s">
        <v>70</v>
      </c>
      <c r="E16" s="92"/>
      <c r="F16" s="28"/>
      <c r="G16" s="28"/>
      <c r="H16" s="28"/>
      <c r="I16" s="28"/>
      <c r="J16" s="28"/>
      <c r="K16" s="28"/>
      <c r="L16" s="28" t="s">
        <v>22</v>
      </c>
      <c r="M16" s="28" t="s">
        <v>22</v>
      </c>
      <c r="N16" s="28" t="s">
        <v>22</v>
      </c>
      <c r="O16" s="28"/>
      <c r="P16" s="28"/>
      <c r="Q16" s="28"/>
      <c r="R16" s="28"/>
      <c r="S16" s="28"/>
      <c r="T16" s="29"/>
    </row>
    <row r="17" spans="1:21" ht="13.5" customHeight="1">
      <c r="A17" s="24"/>
      <c r="B17" s="31"/>
      <c r="C17" s="26"/>
      <c r="D17" s="33" t="s">
        <v>54</v>
      </c>
      <c r="E17" s="92"/>
      <c r="F17" s="28"/>
      <c r="G17" s="28"/>
      <c r="H17" s="28"/>
      <c r="I17" s="28"/>
      <c r="J17" s="28"/>
      <c r="K17" s="28"/>
      <c r="L17" s="28"/>
      <c r="M17" s="28"/>
      <c r="N17" s="28"/>
      <c r="O17" s="28"/>
      <c r="P17" s="28" t="s">
        <v>22</v>
      </c>
      <c r="Q17" s="28"/>
      <c r="R17" s="28"/>
      <c r="S17" s="28"/>
      <c r="T17" s="29"/>
      <c r="U17" s="32"/>
    </row>
    <row r="18" spans="1:21" ht="13.5" customHeight="1">
      <c r="A18" s="24"/>
      <c r="B18" s="25" t="s">
        <v>56</v>
      </c>
      <c r="C18" s="26"/>
      <c r="D18" s="108"/>
      <c r="E18" s="109"/>
      <c r="F18" s="28"/>
      <c r="G18" s="28"/>
      <c r="H18" s="28"/>
      <c r="I18" s="28"/>
      <c r="J18" s="28"/>
      <c r="K18" s="28"/>
      <c r="L18" s="28"/>
      <c r="M18" s="28"/>
      <c r="N18" s="28"/>
      <c r="O18" s="28"/>
      <c r="P18" s="28"/>
      <c r="Q18" s="28"/>
      <c r="R18" s="28"/>
      <c r="S18" s="28"/>
      <c r="T18" s="29"/>
    </row>
    <row r="19" spans="1:21" ht="13.5" customHeight="1">
      <c r="A19" s="24"/>
      <c r="B19" s="25"/>
      <c r="C19" s="26"/>
      <c r="D19" s="149" t="s">
        <v>57</v>
      </c>
      <c r="E19" s="150"/>
      <c r="F19" s="28" t="s">
        <v>22</v>
      </c>
      <c r="G19" s="28"/>
      <c r="H19" s="28"/>
      <c r="I19" s="28" t="s">
        <v>22</v>
      </c>
      <c r="J19" s="28"/>
      <c r="K19" s="28"/>
      <c r="L19" s="28" t="s">
        <v>22</v>
      </c>
      <c r="M19" s="28"/>
      <c r="N19" s="28"/>
      <c r="O19" s="28"/>
      <c r="P19" s="28" t="s">
        <v>22</v>
      </c>
      <c r="Q19" s="28"/>
      <c r="R19" s="28"/>
      <c r="S19" s="28"/>
      <c r="T19" s="29"/>
    </row>
    <row r="20" spans="1:21" ht="13.5" customHeight="1">
      <c r="A20" s="24"/>
      <c r="B20" s="25"/>
      <c r="C20" s="26"/>
      <c r="D20" s="151" t="s">
        <v>58</v>
      </c>
      <c r="E20" s="152"/>
      <c r="F20" s="28"/>
      <c r="G20" s="28" t="s">
        <v>22</v>
      </c>
      <c r="H20" s="28"/>
      <c r="I20" s="28"/>
      <c r="J20" s="28" t="s">
        <v>22</v>
      </c>
      <c r="K20" s="28"/>
      <c r="L20" s="28"/>
      <c r="M20" s="28" t="s">
        <v>22</v>
      </c>
      <c r="N20" s="28"/>
      <c r="O20" s="28"/>
      <c r="P20" s="28"/>
      <c r="Q20" s="28"/>
      <c r="R20" s="28"/>
      <c r="S20" s="28"/>
      <c r="T20" s="29"/>
    </row>
    <row r="21" spans="1:21" ht="13.5" customHeight="1">
      <c r="A21" s="24"/>
      <c r="B21" s="31"/>
      <c r="C21" s="26"/>
      <c r="D21" s="33" t="s">
        <v>59</v>
      </c>
      <c r="E21" s="93"/>
      <c r="F21" s="28"/>
      <c r="G21" s="28"/>
      <c r="H21" s="28" t="s">
        <v>22</v>
      </c>
      <c r="I21" s="28"/>
      <c r="J21" s="28"/>
      <c r="K21" s="28" t="s">
        <v>22</v>
      </c>
      <c r="L21" s="28"/>
      <c r="M21" s="28"/>
      <c r="N21" s="28" t="s">
        <v>22</v>
      </c>
      <c r="O21" s="28"/>
      <c r="P21" s="28"/>
      <c r="Q21" s="28"/>
      <c r="R21" s="28"/>
      <c r="S21" s="28"/>
      <c r="T21" s="29"/>
    </row>
    <row r="22" spans="1:21" ht="13.5" customHeight="1">
      <c r="A22" s="24"/>
      <c r="B22" s="25"/>
      <c r="C22" s="26"/>
      <c r="D22" s="153" t="s">
        <v>54</v>
      </c>
      <c r="E22" s="154"/>
      <c r="F22" s="28"/>
      <c r="G22" s="28"/>
      <c r="H22" s="28"/>
      <c r="I22" s="28"/>
      <c r="J22" s="28"/>
      <c r="K22" s="28"/>
      <c r="L22" s="28"/>
      <c r="M22" s="28"/>
      <c r="N22" s="28"/>
      <c r="O22" s="28" t="s">
        <v>22</v>
      </c>
      <c r="P22" s="28"/>
      <c r="Q22" s="28"/>
      <c r="R22" s="28"/>
      <c r="S22" s="28"/>
      <c r="T22" s="29"/>
    </row>
    <row r="23" spans="1:21" ht="13.5" customHeight="1">
      <c r="A23" s="24"/>
      <c r="B23" s="25" t="s">
        <v>55</v>
      </c>
      <c r="C23" s="26"/>
      <c r="D23" s="108"/>
      <c r="E23" s="109"/>
      <c r="F23" s="28"/>
      <c r="G23" s="28"/>
      <c r="H23" s="28"/>
      <c r="I23" s="28"/>
      <c r="J23" s="28"/>
      <c r="K23" s="28"/>
      <c r="L23" s="28"/>
      <c r="M23" s="28"/>
      <c r="N23" s="28"/>
      <c r="O23" s="28"/>
      <c r="P23" s="28"/>
      <c r="Q23" s="28"/>
      <c r="R23" s="28"/>
      <c r="S23" s="28"/>
      <c r="T23" s="29"/>
    </row>
    <row r="24" spans="1:21" ht="13.5" customHeight="1">
      <c r="A24" s="24"/>
      <c r="B24" s="25"/>
      <c r="C24" s="26"/>
      <c r="D24" s="156">
        <v>2</v>
      </c>
      <c r="E24" s="92"/>
      <c r="F24" s="28" t="s">
        <v>22</v>
      </c>
      <c r="G24" s="28" t="s">
        <v>22</v>
      </c>
      <c r="H24" s="28" t="s">
        <v>22</v>
      </c>
      <c r="I24" s="28" t="s">
        <v>22</v>
      </c>
      <c r="J24" s="28" t="s">
        <v>22</v>
      </c>
      <c r="K24" s="28" t="s">
        <v>22</v>
      </c>
      <c r="L24" s="28" t="s">
        <v>22</v>
      </c>
      <c r="M24" s="28" t="s">
        <v>22</v>
      </c>
      <c r="N24" s="28" t="s">
        <v>22</v>
      </c>
      <c r="O24" s="28" t="s">
        <v>22</v>
      </c>
      <c r="P24" s="28" t="s">
        <v>22</v>
      </c>
      <c r="Q24" s="28"/>
      <c r="R24" s="28"/>
      <c r="S24" s="28"/>
      <c r="T24" s="29"/>
    </row>
    <row r="25" spans="1:21" ht="13.5" customHeight="1">
      <c r="A25" s="24"/>
      <c r="B25" s="25"/>
      <c r="C25" s="26"/>
      <c r="D25" s="33"/>
      <c r="E25" s="93"/>
      <c r="F25" s="28"/>
      <c r="G25" s="28"/>
      <c r="H25" s="28"/>
      <c r="I25" s="28"/>
      <c r="J25" s="28"/>
      <c r="K25" s="28"/>
      <c r="L25" s="28"/>
      <c r="M25" s="28"/>
      <c r="N25" s="28"/>
      <c r="O25" s="28"/>
      <c r="P25" s="28"/>
      <c r="Q25" s="28"/>
      <c r="R25" s="28"/>
      <c r="S25" s="28"/>
      <c r="T25" s="29"/>
    </row>
    <row r="26" spans="1:21" ht="13.5" customHeight="1">
      <c r="A26" s="24"/>
      <c r="B26" s="25"/>
      <c r="C26" s="26"/>
      <c r="D26" s="33"/>
      <c r="E26" s="93"/>
      <c r="F26" s="28"/>
      <c r="G26" s="28"/>
      <c r="H26" s="28"/>
      <c r="I26" s="28"/>
      <c r="J26" s="28"/>
      <c r="K26" s="28"/>
      <c r="L26" s="28"/>
      <c r="M26" s="28"/>
      <c r="N26" s="28"/>
      <c r="O26" s="28"/>
      <c r="P26" s="28"/>
      <c r="Q26" s="28"/>
      <c r="R26" s="28"/>
      <c r="S26" s="28"/>
      <c r="T26" s="29"/>
    </row>
    <row r="27" spans="1:21" ht="13.5" customHeight="1">
      <c r="A27" s="24"/>
      <c r="B27" s="25"/>
      <c r="C27" s="26"/>
      <c r="D27" s="33"/>
      <c r="E27" s="93"/>
      <c r="F27" s="28"/>
      <c r="G27" s="28"/>
      <c r="H27" s="28"/>
      <c r="I27" s="28"/>
      <c r="J27" s="28"/>
      <c r="K27" s="28"/>
      <c r="L27" s="28"/>
      <c r="M27" s="28"/>
      <c r="N27" s="28"/>
      <c r="O27" s="28"/>
      <c r="P27" s="28"/>
      <c r="Q27" s="28"/>
      <c r="R27" s="28"/>
      <c r="S27" s="28"/>
      <c r="T27" s="29"/>
    </row>
    <row r="28" spans="1:21" ht="13.5" customHeight="1">
      <c r="A28" s="24"/>
      <c r="B28" s="34"/>
      <c r="C28" s="26"/>
      <c r="D28" s="33"/>
      <c r="E28" s="93"/>
      <c r="F28" s="28"/>
      <c r="G28" s="28"/>
      <c r="H28" s="28"/>
      <c r="I28" s="28"/>
      <c r="J28" s="28"/>
      <c r="K28" s="28"/>
      <c r="L28" s="28"/>
      <c r="M28" s="28"/>
      <c r="N28" s="28"/>
      <c r="O28" s="28"/>
      <c r="P28" s="28"/>
      <c r="Q28" s="28"/>
      <c r="R28" s="28"/>
      <c r="S28" s="28"/>
      <c r="T28" s="29"/>
    </row>
    <row r="29" spans="1:21" ht="13.5" customHeight="1" thickBot="1">
      <c r="A29" s="35"/>
      <c r="B29" s="36"/>
      <c r="C29" s="37"/>
      <c r="D29" s="38"/>
      <c r="E29" s="93"/>
      <c r="F29" s="39"/>
      <c r="G29" s="39"/>
      <c r="H29" s="39"/>
      <c r="I29" s="39"/>
      <c r="J29" s="39"/>
      <c r="K29" s="39"/>
      <c r="L29" s="39"/>
      <c r="M29" s="39"/>
      <c r="N29" s="39"/>
      <c r="O29" s="39"/>
      <c r="P29" s="39"/>
      <c r="Q29" s="39"/>
      <c r="R29" s="39"/>
      <c r="S29" s="39"/>
      <c r="T29" s="40"/>
    </row>
    <row r="30" spans="1:21" ht="13.5" customHeight="1">
      <c r="A30" s="41" t="s">
        <v>23</v>
      </c>
      <c r="B30" s="42" t="s">
        <v>24</v>
      </c>
      <c r="C30" s="43"/>
      <c r="D30" s="44"/>
      <c r="E30" s="94"/>
      <c r="F30" s="45"/>
      <c r="G30" s="45"/>
      <c r="H30" s="45"/>
      <c r="I30" s="45"/>
      <c r="J30" s="45"/>
      <c r="K30" s="45"/>
      <c r="L30" s="45"/>
      <c r="M30" s="45"/>
      <c r="N30" s="45"/>
      <c r="O30" s="45"/>
      <c r="P30" s="45"/>
      <c r="Q30" s="45"/>
      <c r="R30" s="45"/>
      <c r="S30" s="45"/>
      <c r="T30" s="46"/>
    </row>
    <row r="31" spans="1:21" ht="13.5" customHeight="1">
      <c r="A31" s="47"/>
      <c r="B31" s="48"/>
      <c r="C31" s="49"/>
      <c r="D31" s="51">
        <f>1000*2*2</f>
        <v>4000</v>
      </c>
      <c r="E31" s="95"/>
      <c r="F31" s="28" t="s">
        <v>22</v>
      </c>
      <c r="G31" s="28"/>
      <c r="H31" s="28"/>
      <c r="I31" s="28"/>
      <c r="J31" s="28"/>
      <c r="K31" s="28"/>
      <c r="L31" s="28"/>
      <c r="M31" s="28"/>
      <c r="N31" s="28"/>
      <c r="O31" s="28"/>
      <c r="P31" s="28"/>
      <c r="Q31" s="28"/>
      <c r="R31" s="28"/>
      <c r="S31" s="28"/>
      <c r="T31" s="29"/>
    </row>
    <row r="32" spans="1:21" ht="13.5" customHeight="1">
      <c r="A32" s="47"/>
      <c r="B32" s="48"/>
      <c r="C32" s="49"/>
      <c r="D32" s="51">
        <f>1000*2*1</f>
        <v>2000</v>
      </c>
      <c r="E32" s="95"/>
      <c r="F32" s="28"/>
      <c r="G32" s="28" t="s">
        <v>22</v>
      </c>
      <c r="H32" s="155"/>
      <c r="I32" s="28"/>
      <c r="J32" s="28"/>
      <c r="K32" s="28"/>
      <c r="L32" s="28"/>
      <c r="M32" s="28"/>
      <c r="N32" s="28"/>
      <c r="O32" s="28"/>
      <c r="P32" s="28"/>
      <c r="Q32" s="28"/>
      <c r="R32" s="28"/>
      <c r="S32" s="28"/>
      <c r="T32" s="29"/>
    </row>
    <row r="33" spans="1:20" ht="13.5" customHeight="1">
      <c r="A33" s="47"/>
      <c r="B33" s="48"/>
      <c r="C33" s="49"/>
      <c r="D33" s="51">
        <f>1000*2*1.5</f>
        <v>3000</v>
      </c>
      <c r="E33" s="95"/>
      <c r="F33" s="28"/>
      <c r="G33" s="28"/>
      <c r="H33" s="155" t="s">
        <v>22</v>
      </c>
      <c r="I33" s="28"/>
      <c r="J33" s="28"/>
      <c r="K33" s="28"/>
      <c r="L33" s="28"/>
      <c r="M33" s="28"/>
      <c r="N33" s="28"/>
      <c r="O33" s="28"/>
      <c r="P33" s="28"/>
      <c r="Q33" s="28"/>
      <c r="R33" s="28"/>
      <c r="S33" s="28"/>
      <c r="T33" s="29"/>
    </row>
    <row r="34" spans="1:20" ht="13.5" customHeight="1">
      <c r="A34" s="47"/>
      <c r="B34" s="48"/>
      <c r="C34" s="50"/>
      <c r="D34" s="51">
        <f>3000*2*2</f>
        <v>12000</v>
      </c>
      <c r="E34" s="96"/>
      <c r="F34" s="28"/>
      <c r="G34" s="28"/>
      <c r="I34" s="28" t="s">
        <v>22</v>
      </c>
      <c r="J34" s="28"/>
      <c r="K34" s="28"/>
      <c r="L34" s="28"/>
      <c r="M34" s="28"/>
      <c r="N34" s="28"/>
      <c r="O34" s="28"/>
      <c r="P34" s="28"/>
      <c r="Q34" s="28"/>
      <c r="R34" s="28"/>
      <c r="S34" s="28"/>
      <c r="T34" s="29"/>
    </row>
    <row r="35" spans="1:20" ht="13.5" customHeight="1">
      <c r="A35" s="47"/>
      <c r="B35" s="48"/>
      <c r="C35" s="50"/>
      <c r="D35" s="51">
        <f>3000*2*1</f>
        <v>6000</v>
      </c>
      <c r="E35" s="96"/>
      <c r="F35" s="28"/>
      <c r="G35" s="28"/>
      <c r="I35" s="28"/>
      <c r="J35" s="28" t="s">
        <v>22</v>
      </c>
      <c r="K35" s="28"/>
      <c r="L35" s="28"/>
      <c r="M35" s="28"/>
      <c r="N35" s="28"/>
      <c r="O35" s="28"/>
      <c r="P35" s="28"/>
      <c r="Q35" s="28"/>
      <c r="R35" s="28"/>
      <c r="S35" s="28"/>
      <c r="T35" s="29"/>
    </row>
    <row r="36" spans="1:20" ht="13.5" customHeight="1">
      <c r="A36" s="47"/>
      <c r="B36" s="48"/>
      <c r="C36" s="50"/>
      <c r="D36" s="51">
        <f>3000*2*1.5</f>
        <v>9000</v>
      </c>
      <c r="E36" s="96"/>
      <c r="F36" s="28"/>
      <c r="G36" s="28"/>
      <c r="H36" s="28"/>
      <c r="I36" s="28"/>
      <c r="J36" s="28"/>
      <c r="K36" s="28" t="s">
        <v>22</v>
      </c>
      <c r="L36" s="28"/>
      <c r="M36" s="28"/>
      <c r="N36" s="28"/>
      <c r="O36" s="28"/>
      <c r="P36" s="28"/>
      <c r="Q36" s="28"/>
      <c r="R36" s="28"/>
      <c r="S36" s="28"/>
      <c r="T36" s="29"/>
    </row>
    <row r="37" spans="1:20" ht="13.5" customHeight="1">
      <c r="A37" s="47"/>
      <c r="B37" s="48"/>
      <c r="C37" s="50"/>
      <c r="D37" s="51">
        <f>5000*2*2</f>
        <v>20000</v>
      </c>
      <c r="E37" s="96"/>
      <c r="F37" s="28"/>
      <c r="G37" s="28"/>
      <c r="H37" s="28"/>
      <c r="I37" s="28"/>
      <c r="J37" s="28"/>
      <c r="K37" s="28"/>
      <c r="L37" s="28" t="s">
        <v>22</v>
      </c>
      <c r="M37" s="28"/>
      <c r="N37" s="28"/>
      <c r="O37" s="28"/>
      <c r="P37" s="28"/>
      <c r="Q37" s="28"/>
      <c r="R37" s="28"/>
      <c r="S37" s="28"/>
      <c r="T37" s="29"/>
    </row>
    <row r="38" spans="1:20" ht="13.5" customHeight="1">
      <c r="A38" s="47"/>
      <c r="B38" s="48"/>
      <c r="C38" s="50"/>
      <c r="D38" s="51">
        <f>5000*2*1</f>
        <v>10000</v>
      </c>
      <c r="E38" s="96"/>
      <c r="F38" s="28"/>
      <c r="G38" s="28"/>
      <c r="H38" s="28"/>
      <c r="I38" s="28"/>
      <c r="J38" s="28"/>
      <c r="K38" s="28"/>
      <c r="L38" s="28"/>
      <c r="M38" s="28" t="s">
        <v>22</v>
      </c>
      <c r="N38" s="28"/>
      <c r="O38" s="28"/>
      <c r="P38" s="28"/>
      <c r="Q38" s="28"/>
      <c r="R38" s="28"/>
      <c r="S38" s="28"/>
      <c r="T38" s="29"/>
    </row>
    <row r="39" spans="1:20" ht="13.5" customHeight="1">
      <c r="A39" s="47"/>
      <c r="B39" s="48"/>
      <c r="C39" s="50"/>
      <c r="D39" s="51">
        <f>5000*2*1.5</f>
        <v>15000</v>
      </c>
      <c r="E39" s="96"/>
      <c r="F39" s="28"/>
      <c r="G39" s="28"/>
      <c r="H39" s="28"/>
      <c r="I39" s="28"/>
      <c r="J39" s="28"/>
      <c r="K39" s="28"/>
      <c r="L39" s="28"/>
      <c r="M39" s="28"/>
      <c r="N39" s="28" t="s">
        <v>22</v>
      </c>
      <c r="O39" s="28"/>
      <c r="P39" s="28"/>
      <c r="Q39" s="28"/>
      <c r="R39" s="28"/>
      <c r="S39" s="28"/>
      <c r="T39" s="29"/>
    </row>
    <row r="40" spans="1:20" ht="13.5" customHeight="1">
      <c r="A40" s="47"/>
      <c r="B40" s="48"/>
      <c r="C40" s="50"/>
      <c r="D40" s="51"/>
      <c r="E40" s="96"/>
      <c r="F40" s="28"/>
      <c r="G40" s="28"/>
      <c r="H40" s="28"/>
      <c r="I40" s="28"/>
      <c r="J40" s="28"/>
      <c r="K40" s="28"/>
      <c r="L40" s="28"/>
      <c r="M40" s="28"/>
      <c r="N40" s="28"/>
      <c r="O40" s="28"/>
      <c r="P40" s="28"/>
      <c r="Q40" s="28"/>
      <c r="R40" s="28"/>
      <c r="S40" s="28"/>
      <c r="T40" s="29"/>
    </row>
    <row r="41" spans="1:20" ht="13.5" customHeight="1">
      <c r="A41" s="47"/>
      <c r="B41" s="48" t="s">
        <v>25</v>
      </c>
      <c r="C41" s="50"/>
      <c r="D41" s="51"/>
      <c r="E41" s="96"/>
      <c r="F41" s="28"/>
      <c r="G41" s="28"/>
      <c r="H41" s="28"/>
      <c r="I41" s="28"/>
      <c r="J41" s="28"/>
      <c r="K41" s="28"/>
      <c r="L41" s="28"/>
      <c r="M41" s="28"/>
      <c r="N41" s="28"/>
      <c r="O41" s="28"/>
      <c r="P41" s="28"/>
      <c r="Q41" s="28"/>
      <c r="R41" s="28"/>
      <c r="S41" s="28"/>
      <c r="T41" s="29"/>
    </row>
    <row r="42" spans="1:20" ht="13.5" customHeight="1">
      <c r="A42" s="47"/>
      <c r="B42" s="48"/>
      <c r="C42" s="50"/>
      <c r="D42" s="51" t="s">
        <v>71</v>
      </c>
      <c r="E42" s="96"/>
      <c r="F42" s="28"/>
      <c r="G42" s="28"/>
      <c r="H42" s="28"/>
      <c r="I42" s="28"/>
      <c r="J42" s="28"/>
      <c r="K42" s="28"/>
      <c r="L42" s="28"/>
      <c r="M42" s="28"/>
      <c r="N42" s="28"/>
      <c r="O42" s="28" t="s">
        <v>22</v>
      </c>
      <c r="P42" s="28" t="s">
        <v>22</v>
      </c>
      <c r="Q42" s="28"/>
      <c r="R42" s="28"/>
      <c r="S42" s="28"/>
      <c r="T42" s="29"/>
    </row>
    <row r="43" spans="1:20" ht="13.5" customHeight="1">
      <c r="A43" s="47"/>
      <c r="B43" s="48" t="s">
        <v>26</v>
      </c>
      <c r="C43" s="50"/>
      <c r="D43" s="51"/>
      <c r="E43" s="96"/>
      <c r="F43" s="28"/>
      <c r="G43" s="28"/>
      <c r="H43" s="28"/>
      <c r="I43" s="28"/>
      <c r="J43" s="28"/>
      <c r="K43" s="28"/>
      <c r="L43" s="28"/>
      <c r="M43" s="28"/>
      <c r="N43" s="28"/>
      <c r="O43" s="28"/>
      <c r="P43" s="28"/>
      <c r="Q43" s="28"/>
      <c r="R43" s="28"/>
      <c r="S43" s="28"/>
      <c r="T43" s="29"/>
    </row>
    <row r="44" spans="1:20" ht="13.5" customHeight="1">
      <c r="A44" s="47"/>
      <c r="B44" s="48"/>
      <c r="C44" s="50"/>
      <c r="D44" s="51" t="s">
        <v>72</v>
      </c>
      <c r="E44" s="96"/>
      <c r="F44" s="28"/>
      <c r="G44" s="28"/>
      <c r="H44" s="28"/>
      <c r="I44" s="28"/>
      <c r="J44" s="28"/>
      <c r="K44" s="28"/>
      <c r="L44" s="28"/>
      <c r="M44" s="28"/>
      <c r="N44" s="28"/>
      <c r="O44" s="28" t="s">
        <v>22</v>
      </c>
      <c r="P44" s="28"/>
      <c r="Q44" s="28"/>
      <c r="R44" s="28"/>
      <c r="S44" s="28"/>
      <c r="T44" s="29"/>
    </row>
    <row r="45" spans="1:20" ht="13.5" customHeight="1" thickBot="1">
      <c r="A45" s="52"/>
      <c r="B45" s="53"/>
      <c r="C45" s="54"/>
      <c r="D45" s="157" t="s">
        <v>73</v>
      </c>
      <c r="E45" s="97"/>
      <c r="F45" s="55"/>
      <c r="G45" s="55"/>
      <c r="H45" s="55"/>
      <c r="I45" s="55"/>
      <c r="J45" s="55"/>
      <c r="K45" s="55"/>
      <c r="L45" s="55"/>
      <c r="M45" s="55"/>
      <c r="N45" s="55"/>
      <c r="O45" s="55"/>
      <c r="P45" s="55" t="s">
        <v>22</v>
      </c>
      <c r="Q45" s="55"/>
      <c r="R45" s="55"/>
      <c r="S45" s="55"/>
      <c r="T45" s="56"/>
    </row>
    <row r="46" spans="1:20" ht="13.5" customHeight="1">
      <c r="A46" s="47" t="s">
        <v>27</v>
      </c>
      <c r="B46" s="98" t="s">
        <v>28</v>
      </c>
      <c r="C46" s="99"/>
      <c r="D46" s="99"/>
      <c r="E46" s="57"/>
      <c r="F46" s="58" t="s">
        <v>29</v>
      </c>
      <c r="G46" s="58" t="s">
        <v>29</v>
      </c>
      <c r="H46" s="58" t="s">
        <v>29</v>
      </c>
      <c r="I46" s="58" t="s">
        <v>29</v>
      </c>
      <c r="J46" s="58" t="s">
        <v>29</v>
      </c>
      <c r="K46" s="58" t="s">
        <v>29</v>
      </c>
      <c r="L46" s="58" t="s">
        <v>29</v>
      </c>
      <c r="M46" s="58" t="s">
        <v>29</v>
      </c>
      <c r="N46" s="58" t="s">
        <v>29</v>
      </c>
      <c r="O46" s="58" t="s">
        <v>74</v>
      </c>
      <c r="P46" s="58" t="s">
        <v>74</v>
      </c>
      <c r="Q46" s="58"/>
      <c r="R46" s="58"/>
      <c r="S46" s="58"/>
      <c r="T46" s="59"/>
    </row>
    <row r="47" spans="1:20" ht="13.5" customHeight="1">
      <c r="A47" s="47"/>
      <c r="B47" s="100" t="s">
        <v>30</v>
      </c>
      <c r="C47" s="101"/>
      <c r="D47" s="101"/>
      <c r="E47" s="60"/>
      <c r="F47" s="61"/>
      <c r="G47" s="61"/>
      <c r="H47" s="61"/>
      <c r="I47" s="61"/>
      <c r="J47" s="61"/>
      <c r="K47" s="61"/>
      <c r="L47" s="61"/>
      <c r="M47" s="61"/>
      <c r="N47" s="61"/>
      <c r="O47" s="61"/>
      <c r="P47" s="61"/>
      <c r="Q47" s="61"/>
      <c r="R47" s="61"/>
      <c r="S47" s="61"/>
      <c r="T47" s="62"/>
    </row>
    <row r="48" spans="1:20" ht="13.5" customHeight="1">
      <c r="A48" s="47"/>
      <c r="B48" s="102" t="s">
        <v>31</v>
      </c>
      <c r="C48" s="103"/>
      <c r="D48" s="103"/>
      <c r="E48" s="63"/>
      <c r="F48" s="64"/>
      <c r="G48" s="64"/>
      <c r="H48" s="64"/>
      <c r="I48" s="64"/>
      <c r="J48" s="64"/>
      <c r="K48" s="64"/>
      <c r="L48" s="64"/>
      <c r="M48" s="64"/>
      <c r="N48" s="64"/>
      <c r="O48" s="64"/>
      <c r="P48" s="64"/>
      <c r="Q48" s="64"/>
      <c r="R48" s="64"/>
      <c r="S48" s="64"/>
      <c r="T48" s="65"/>
    </row>
    <row r="49" spans="1:20" ht="10.8" thickBot="1">
      <c r="A49" s="52"/>
      <c r="B49" s="104" t="s">
        <v>32</v>
      </c>
      <c r="C49" s="105"/>
      <c r="D49" s="105"/>
      <c r="E49" s="66"/>
      <c r="F49" s="67"/>
      <c r="G49" s="67"/>
      <c r="H49" s="67"/>
      <c r="I49" s="67"/>
      <c r="J49" s="67"/>
      <c r="K49" s="67"/>
      <c r="L49" s="67"/>
      <c r="M49" s="67"/>
      <c r="N49" s="67"/>
      <c r="O49" s="67"/>
      <c r="P49" s="67"/>
      <c r="Q49" s="67"/>
      <c r="R49" s="67"/>
      <c r="S49" s="67"/>
      <c r="T49" s="68"/>
    </row>
    <row r="50" spans="1:20">
      <c r="A50" s="69"/>
    </row>
    <row r="53" spans="1:20">
      <c r="A53" s="2"/>
      <c r="B53" s="3"/>
    </row>
    <row r="54" spans="1:20">
      <c r="B54" s="70"/>
      <c r="C54" s="71"/>
    </row>
  </sheetData>
  <mergeCells count="33">
    <mergeCell ref="A1:B1"/>
    <mergeCell ref="C1:E1"/>
    <mergeCell ref="F1:K1"/>
    <mergeCell ref="L1:T1"/>
    <mergeCell ref="A2:B2"/>
    <mergeCell ref="C2:E2"/>
    <mergeCell ref="F2:K2"/>
    <mergeCell ref="L2:N2"/>
    <mergeCell ref="A6:B6"/>
    <mergeCell ref="C6:E6"/>
    <mergeCell ref="F6:K6"/>
    <mergeCell ref="O6:T6"/>
    <mergeCell ref="A3:B3"/>
    <mergeCell ref="C3:D3"/>
    <mergeCell ref="F3:K3"/>
    <mergeCell ref="L3:T3"/>
    <mergeCell ref="A4:B4"/>
    <mergeCell ref="C4:T4"/>
    <mergeCell ref="A5:B5"/>
    <mergeCell ref="C5:E5"/>
    <mergeCell ref="F5:K5"/>
    <mergeCell ref="L5:N5"/>
    <mergeCell ref="O5:T5"/>
    <mergeCell ref="B46:D46"/>
    <mergeCell ref="B47:D47"/>
    <mergeCell ref="B48:D48"/>
    <mergeCell ref="B49:D49"/>
    <mergeCell ref="A8:D8"/>
    <mergeCell ref="D18:E18"/>
    <mergeCell ref="D19:E19"/>
    <mergeCell ref="D20:E20"/>
    <mergeCell ref="D22:E22"/>
    <mergeCell ref="D23:E23"/>
  </mergeCells>
  <phoneticPr fontId="29" type="noConversion"/>
  <dataValidations count="3">
    <dataValidation type="list" allowBlank="1" showInputMessage="1" showErrorMessage="1" sqref="WVN983086:WWB983086 JB46:JP46 SX46:TL46 ACT46:ADH46 AMP46:AND46 AWL46:AWZ46 BGH46:BGV46 BQD46:BQR46 BZZ46:CAN46 CJV46:CKJ46 CTR46:CUF46 DDN46:DEB46 DNJ46:DNX46 DXF46:DXT46 EHB46:EHP46 EQX46:ERL46 FAT46:FBH46 FKP46:FLD46 FUL46:FUZ46 GEH46:GEV46 GOD46:GOR46 GXZ46:GYN46 HHV46:HIJ46 HRR46:HSF46 IBN46:ICB46 ILJ46:ILX46 IVF46:IVT46 JFB46:JFP46 JOX46:JPL46 JYT46:JZH46 KIP46:KJD46 KSL46:KSZ46 LCH46:LCV46 LMD46:LMR46 LVZ46:LWN46 MFV46:MGJ46 MPR46:MQF46 MZN46:NAB46 NJJ46:NJX46 NTF46:NTT46 ODB46:ODP46 OMX46:ONL46 OWT46:OXH46 PGP46:PHD46 PQL46:PQZ46 QAH46:QAV46 QKD46:QKR46 QTZ46:QUN46 RDV46:REJ46 RNR46:ROF46 RXN46:RYB46 SHJ46:SHX46 SRF46:SRT46 TBB46:TBP46 TKX46:TLL46 TUT46:TVH46 UEP46:UFD46 UOL46:UOZ46 UYH46:UYV46 VID46:VIR46 VRZ46:VSN46 WBV46:WCJ46 WLR46:WMF46 WVN46:WWB46 F65582:T65582 JB65582:JP65582 SX65582:TL65582 ACT65582:ADH65582 AMP65582:AND65582 AWL65582:AWZ65582 BGH65582:BGV65582 BQD65582:BQR65582 BZZ65582:CAN65582 CJV65582:CKJ65582 CTR65582:CUF65582 DDN65582:DEB65582 DNJ65582:DNX65582 DXF65582:DXT65582 EHB65582:EHP65582 EQX65582:ERL65582 FAT65582:FBH65582 FKP65582:FLD65582 FUL65582:FUZ65582 GEH65582:GEV65582 GOD65582:GOR65582 GXZ65582:GYN65582 HHV65582:HIJ65582 HRR65582:HSF65582 IBN65582:ICB65582 ILJ65582:ILX65582 IVF65582:IVT65582 JFB65582:JFP65582 JOX65582:JPL65582 JYT65582:JZH65582 KIP65582:KJD65582 KSL65582:KSZ65582 LCH65582:LCV65582 LMD65582:LMR65582 LVZ65582:LWN65582 MFV65582:MGJ65582 MPR65582:MQF65582 MZN65582:NAB65582 NJJ65582:NJX65582 NTF65582:NTT65582 ODB65582:ODP65582 OMX65582:ONL65582 OWT65582:OXH65582 PGP65582:PHD65582 PQL65582:PQZ65582 QAH65582:QAV65582 QKD65582:QKR65582 QTZ65582:QUN65582 RDV65582:REJ65582 RNR65582:ROF65582 RXN65582:RYB65582 SHJ65582:SHX65582 SRF65582:SRT65582 TBB65582:TBP65582 TKX65582:TLL65582 TUT65582:TVH65582 UEP65582:UFD65582 UOL65582:UOZ65582 UYH65582:UYV65582 VID65582:VIR65582 VRZ65582:VSN65582 WBV65582:WCJ65582 WLR65582:WMF65582 WVN65582:WWB65582 F131118:T131118 JB131118:JP131118 SX131118:TL131118 ACT131118:ADH131118 AMP131118:AND131118 AWL131118:AWZ131118 BGH131118:BGV131118 BQD131118:BQR131118 BZZ131118:CAN131118 CJV131118:CKJ131118 CTR131118:CUF131118 DDN131118:DEB131118 DNJ131118:DNX131118 DXF131118:DXT131118 EHB131118:EHP131118 EQX131118:ERL131118 FAT131118:FBH131118 FKP131118:FLD131118 FUL131118:FUZ131118 GEH131118:GEV131118 GOD131118:GOR131118 GXZ131118:GYN131118 HHV131118:HIJ131118 HRR131118:HSF131118 IBN131118:ICB131118 ILJ131118:ILX131118 IVF131118:IVT131118 JFB131118:JFP131118 JOX131118:JPL131118 JYT131118:JZH131118 KIP131118:KJD131118 KSL131118:KSZ131118 LCH131118:LCV131118 LMD131118:LMR131118 LVZ131118:LWN131118 MFV131118:MGJ131118 MPR131118:MQF131118 MZN131118:NAB131118 NJJ131118:NJX131118 NTF131118:NTT131118 ODB131118:ODP131118 OMX131118:ONL131118 OWT131118:OXH131118 PGP131118:PHD131118 PQL131118:PQZ131118 QAH131118:QAV131118 QKD131118:QKR131118 QTZ131118:QUN131118 RDV131118:REJ131118 RNR131118:ROF131118 RXN131118:RYB131118 SHJ131118:SHX131118 SRF131118:SRT131118 TBB131118:TBP131118 TKX131118:TLL131118 TUT131118:TVH131118 UEP131118:UFD131118 UOL131118:UOZ131118 UYH131118:UYV131118 VID131118:VIR131118 VRZ131118:VSN131118 WBV131118:WCJ131118 WLR131118:WMF131118 WVN131118:WWB131118 F196654:T196654 JB196654:JP196654 SX196654:TL196654 ACT196654:ADH196654 AMP196654:AND196654 AWL196654:AWZ196654 BGH196654:BGV196654 BQD196654:BQR196654 BZZ196654:CAN196654 CJV196654:CKJ196654 CTR196654:CUF196654 DDN196654:DEB196654 DNJ196654:DNX196654 DXF196654:DXT196654 EHB196654:EHP196654 EQX196654:ERL196654 FAT196654:FBH196654 FKP196654:FLD196654 FUL196654:FUZ196654 GEH196654:GEV196654 GOD196654:GOR196654 GXZ196654:GYN196654 HHV196654:HIJ196654 HRR196654:HSF196654 IBN196654:ICB196654 ILJ196654:ILX196654 IVF196654:IVT196654 JFB196654:JFP196654 JOX196654:JPL196654 JYT196654:JZH196654 KIP196654:KJD196654 KSL196654:KSZ196654 LCH196654:LCV196654 LMD196654:LMR196654 LVZ196654:LWN196654 MFV196654:MGJ196654 MPR196654:MQF196654 MZN196654:NAB196654 NJJ196654:NJX196654 NTF196654:NTT196654 ODB196654:ODP196654 OMX196654:ONL196654 OWT196654:OXH196654 PGP196654:PHD196654 PQL196654:PQZ196654 QAH196654:QAV196654 QKD196654:QKR196654 QTZ196654:QUN196654 RDV196654:REJ196654 RNR196654:ROF196654 RXN196654:RYB196654 SHJ196654:SHX196654 SRF196654:SRT196654 TBB196654:TBP196654 TKX196654:TLL196654 TUT196654:TVH196654 UEP196654:UFD196654 UOL196654:UOZ196654 UYH196654:UYV196654 VID196654:VIR196654 VRZ196654:VSN196654 WBV196654:WCJ196654 WLR196654:WMF196654 WVN196654:WWB196654 F262190:T262190 JB262190:JP262190 SX262190:TL262190 ACT262190:ADH262190 AMP262190:AND262190 AWL262190:AWZ262190 BGH262190:BGV262190 BQD262190:BQR262190 BZZ262190:CAN262190 CJV262190:CKJ262190 CTR262190:CUF262190 DDN262190:DEB262190 DNJ262190:DNX262190 DXF262190:DXT262190 EHB262190:EHP262190 EQX262190:ERL262190 FAT262190:FBH262190 FKP262190:FLD262190 FUL262190:FUZ262190 GEH262190:GEV262190 GOD262190:GOR262190 GXZ262190:GYN262190 HHV262190:HIJ262190 HRR262190:HSF262190 IBN262190:ICB262190 ILJ262190:ILX262190 IVF262190:IVT262190 JFB262190:JFP262190 JOX262190:JPL262190 JYT262190:JZH262190 KIP262190:KJD262190 KSL262190:KSZ262190 LCH262190:LCV262190 LMD262190:LMR262190 LVZ262190:LWN262190 MFV262190:MGJ262190 MPR262190:MQF262190 MZN262190:NAB262190 NJJ262190:NJX262190 NTF262190:NTT262190 ODB262190:ODP262190 OMX262190:ONL262190 OWT262190:OXH262190 PGP262190:PHD262190 PQL262190:PQZ262190 QAH262190:QAV262190 QKD262190:QKR262190 QTZ262190:QUN262190 RDV262190:REJ262190 RNR262190:ROF262190 RXN262190:RYB262190 SHJ262190:SHX262190 SRF262190:SRT262190 TBB262190:TBP262190 TKX262190:TLL262190 TUT262190:TVH262190 UEP262190:UFD262190 UOL262190:UOZ262190 UYH262190:UYV262190 VID262190:VIR262190 VRZ262190:VSN262190 WBV262190:WCJ262190 WLR262190:WMF262190 WVN262190:WWB262190 F327726:T327726 JB327726:JP327726 SX327726:TL327726 ACT327726:ADH327726 AMP327726:AND327726 AWL327726:AWZ327726 BGH327726:BGV327726 BQD327726:BQR327726 BZZ327726:CAN327726 CJV327726:CKJ327726 CTR327726:CUF327726 DDN327726:DEB327726 DNJ327726:DNX327726 DXF327726:DXT327726 EHB327726:EHP327726 EQX327726:ERL327726 FAT327726:FBH327726 FKP327726:FLD327726 FUL327726:FUZ327726 GEH327726:GEV327726 GOD327726:GOR327726 GXZ327726:GYN327726 HHV327726:HIJ327726 HRR327726:HSF327726 IBN327726:ICB327726 ILJ327726:ILX327726 IVF327726:IVT327726 JFB327726:JFP327726 JOX327726:JPL327726 JYT327726:JZH327726 KIP327726:KJD327726 KSL327726:KSZ327726 LCH327726:LCV327726 LMD327726:LMR327726 LVZ327726:LWN327726 MFV327726:MGJ327726 MPR327726:MQF327726 MZN327726:NAB327726 NJJ327726:NJX327726 NTF327726:NTT327726 ODB327726:ODP327726 OMX327726:ONL327726 OWT327726:OXH327726 PGP327726:PHD327726 PQL327726:PQZ327726 QAH327726:QAV327726 QKD327726:QKR327726 QTZ327726:QUN327726 RDV327726:REJ327726 RNR327726:ROF327726 RXN327726:RYB327726 SHJ327726:SHX327726 SRF327726:SRT327726 TBB327726:TBP327726 TKX327726:TLL327726 TUT327726:TVH327726 UEP327726:UFD327726 UOL327726:UOZ327726 UYH327726:UYV327726 VID327726:VIR327726 VRZ327726:VSN327726 WBV327726:WCJ327726 WLR327726:WMF327726 WVN327726:WWB327726 F393262:T393262 JB393262:JP393262 SX393262:TL393262 ACT393262:ADH393262 AMP393262:AND393262 AWL393262:AWZ393262 BGH393262:BGV393262 BQD393262:BQR393262 BZZ393262:CAN393262 CJV393262:CKJ393262 CTR393262:CUF393262 DDN393262:DEB393262 DNJ393262:DNX393262 DXF393262:DXT393262 EHB393262:EHP393262 EQX393262:ERL393262 FAT393262:FBH393262 FKP393262:FLD393262 FUL393262:FUZ393262 GEH393262:GEV393262 GOD393262:GOR393262 GXZ393262:GYN393262 HHV393262:HIJ393262 HRR393262:HSF393262 IBN393262:ICB393262 ILJ393262:ILX393262 IVF393262:IVT393262 JFB393262:JFP393262 JOX393262:JPL393262 JYT393262:JZH393262 KIP393262:KJD393262 KSL393262:KSZ393262 LCH393262:LCV393262 LMD393262:LMR393262 LVZ393262:LWN393262 MFV393262:MGJ393262 MPR393262:MQF393262 MZN393262:NAB393262 NJJ393262:NJX393262 NTF393262:NTT393262 ODB393262:ODP393262 OMX393262:ONL393262 OWT393262:OXH393262 PGP393262:PHD393262 PQL393262:PQZ393262 QAH393262:QAV393262 QKD393262:QKR393262 QTZ393262:QUN393262 RDV393262:REJ393262 RNR393262:ROF393262 RXN393262:RYB393262 SHJ393262:SHX393262 SRF393262:SRT393262 TBB393262:TBP393262 TKX393262:TLL393262 TUT393262:TVH393262 UEP393262:UFD393262 UOL393262:UOZ393262 UYH393262:UYV393262 VID393262:VIR393262 VRZ393262:VSN393262 WBV393262:WCJ393262 WLR393262:WMF393262 WVN393262:WWB393262 F458798:T458798 JB458798:JP458798 SX458798:TL458798 ACT458798:ADH458798 AMP458798:AND458798 AWL458798:AWZ458798 BGH458798:BGV458798 BQD458798:BQR458798 BZZ458798:CAN458798 CJV458798:CKJ458798 CTR458798:CUF458798 DDN458798:DEB458798 DNJ458798:DNX458798 DXF458798:DXT458798 EHB458798:EHP458798 EQX458798:ERL458798 FAT458798:FBH458798 FKP458798:FLD458798 FUL458798:FUZ458798 GEH458798:GEV458798 GOD458798:GOR458798 GXZ458798:GYN458798 HHV458798:HIJ458798 HRR458798:HSF458798 IBN458798:ICB458798 ILJ458798:ILX458798 IVF458798:IVT458798 JFB458798:JFP458798 JOX458798:JPL458798 JYT458798:JZH458798 KIP458798:KJD458798 KSL458798:KSZ458798 LCH458798:LCV458798 LMD458798:LMR458798 LVZ458798:LWN458798 MFV458798:MGJ458798 MPR458798:MQF458798 MZN458798:NAB458798 NJJ458798:NJX458798 NTF458798:NTT458798 ODB458798:ODP458798 OMX458798:ONL458798 OWT458798:OXH458798 PGP458798:PHD458798 PQL458798:PQZ458798 QAH458798:QAV458798 QKD458798:QKR458798 QTZ458798:QUN458798 RDV458798:REJ458798 RNR458798:ROF458798 RXN458798:RYB458798 SHJ458798:SHX458798 SRF458798:SRT458798 TBB458798:TBP458798 TKX458798:TLL458798 TUT458798:TVH458798 UEP458798:UFD458798 UOL458798:UOZ458798 UYH458798:UYV458798 VID458798:VIR458798 VRZ458798:VSN458798 WBV458798:WCJ458798 WLR458798:WMF458798 WVN458798:WWB458798 F524334:T524334 JB524334:JP524334 SX524334:TL524334 ACT524334:ADH524334 AMP524334:AND524334 AWL524334:AWZ524334 BGH524334:BGV524334 BQD524334:BQR524334 BZZ524334:CAN524334 CJV524334:CKJ524334 CTR524334:CUF524334 DDN524334:DEB524334 DNJ524334:DNX524334 DXF524334:DXT524334 EHB524334:EHP524334 EQX524334:ERL524334 FAT524334:FBH524334 FKP524334:FLD524334 FUL524334:FUZ524334 GEH524334:GEV524334 GOD524334:GOR524334 GXZ524334:GYN524334 HHV524334:HIJ524334 HRR524334:HSF524334 IBN524334:ICB524334 ILJ524334:ILX524334 IVF524334:IVT524334 JFB524334:JFP524334 JOX524334:JPL524334 JYT524334:JZH524334 KIP524334:KJD524334 KSL524334:KSZ524334 LCH524334:LCV524334 LMD524334:LMR524334 LVZ524334:LWN524334 MFV524334:MGJ524334 MPR524334:MQF524334 MZN524334:NAB524334 NJJ524334:NJX524334 NTF524334:NTT524334 ODB524334:ODP524334 OMX524334:ONL524334 OWT524334:OXH524334 PGP524334:PHD524334 PQL524334:PQZ524334 QAH524334:QAV524334 QKD524334:QKR524334 QTZ524334:QUN524334 RDV524334:REJ524334 RNR524334:ROF524334 RXN524334:RYB524334 SHJ524334:SHX524334 SRF524334:SRT524334 TBB524334:TBP524334 TKX524334:TLL524334 TUT524334:TVH524334 UEP524334:UFD524334 UOL524334:UOZ524334 UYH524334:UYV524334 VID524334:VIR524334 VRZ524334:VSN524334 WBV524334:WCJ524334 WLR524334:WMF524334 WVN524334:WWB524334 F589870:T589870 JB589870:JP589870 SX589870:TL589870 ACT589870:ADH589870 AMP589870:AND589870 AWL589870:AWZ589870 BGH589870:BGV589870 BQD589870:BQR589870 BZZ589870:CAN589870 CJV589870:CKJ589870 CTR589870:CUF589870 DDN589870:DEB589870 DNJ589870:DNX589870 DXF589870:DXT589870 EHB589870:EHP589870 EQX589870:ERL589870 FAT589870:FBH589870 FKP589870:FLD589870 FUL589870:FUZ589870 GEH589870:GEV589870 GOD589870:GOR589870 GXZ589870:GYN589870 HHV589870:HIJ589870 HRR589870:HSF589870 IBN589870:ICB589870 ILJ589870:ILX589870 IVF589870:IVT589870 JFB589870:JFP589870 JOX589870:JPL589870 JYT589870:JZH589870 KIP589870:KJD589870 KSL589870:KSZ589870 LCH589870:LCV589870 LMD589870:LMR589870 LVZ589870:LWN589870 MFV589870:MGJ589870 MPR589870:MQF589870 MZN589870:NAB589870 NJJ589870:NJX589870 NTF589870:NTT589870 ODB589870:ODP589870 OMX589870:ONL589870 OWT589870:OXH589870 PGP589870:PHD589870 PQL589870:PQZ589870 QAH589870:QAV589870 QKD589870:QKR589870 QTZ589870:QUN589870 RDV589870:REJ589870 RNR589870:ROF589870 RXN589870:RYB589870 SHJ589870:SHX589870 SRF589870:SRT589870 TBB589870:TBP589870 TKX589870:TLL589870 TUT589870:TVH589870 UEP589870:UFD589870 UOL589870:UOZ589870 UYH589870:UYV589870 VID589870:VIR589870 VRZ589870:VSN589870 WBV589870:WCJ589870 WLR589870:WMF589870 WVN589870:WWB589870 F655406:T655406 JB655406:JP655406 SX655406:TL655406 ACT655406:ADH655406 AMP655406:AND655406 AWL655406:AWZ655406 BGH655406:BGV655406 BQD655406:BQR655406 BZZ655406:CAN655406 CJV655406:CKJ655406 CTR655406:CUF655406 DDN655406:DEB655406 DNJ655406:DNX655406 DXF655406:DXT655406 EHB655406:EHP655406 EQX655406:ERL655406 FAT655406:FBH655406 FKP655406:FLD655406 FUL655406:FUZ655406 GEH655406:GEV655406 GOD655406:GOR655406 GXZ655406:GYN655406 HHV655406:HIJ655406 HRR655406:HSF655406 IBN655406:ICB655406 ILJ655406:ILX655406 IVF655406:IVT655406 JFB655406:JFP655406 JOX655406:JPL655406 JYT655406:JZH655406 KIP655406:KJD655406 KSL655406:KSZ655406 LCH655406:LCV655406 LMD655406:LMR655406 LVZ655406:LWN655406 MFV655406:MGJ655406 MPR655406:MQF655406 MZN655406:NAB655406 NJJ655406:NJX655406 NTF655406:NTT655406 ODB655406:ODP655406 OMX655406:ONL655406 OWT655406:OXH655406 PGP655406:PHD655406 PQL655406:PQZ655406 QAH655406:QAV655406 QKD655406:QKR655406 QTZ655406:QUN655406 RDV655406:REJ655406 RNR655406:ROF655406 RXN655406:RYB655406 SHJ655406:SHX655406 SRF655406:SRT655406 TBB655406:TBP655406 TKX655406:TLL655406 TUT655406:TVH655406 UEP655406:UFD655406 UOL655406:UOZ655406 UYH655406:UYV655406 VID655406:VIR655406 VRZ655406:VSN655406 WBV655406:WCJ655406 WLR655406:WMF655406 WVN655406:WWB655406 F720942:T720942 JB720942:JP720942 SX720942:TL720942 ACT720942:ADH720942 AMP720942:AND720942 AWL720942:AWZ720942 BGH720942:BGV720942 BQD720942:BQR720942 BZZ720942:CAN720942 CJV720942:CKJ720942 CTR720942:CUF720942 DDN720942:DEB720942 DNJ720942:DNX720942 DXF720942:DXT720942 EHB720942:EHP720942 EQX720942:ERL720942 FAT720942:FBH720942 FKP720942:FLD720942 FUL720942:FUZ720942 GEH720942:GEV720942 GOD720942:GOR720942 GXZ720942:GYN720942 HHV720942:HIJ720942 HRR720942:HSF720942 IBN720942:ICB720942 ILJ720942:ILX720942 IVF720942:IVT720942 JFB720942:JFP720942 JOX720942:JPL720942 JYT720942:JZH720942 KIP720942:KJD720942 KSL720942:KSZ720942 LCH720942:LCV720942 LMD720942:LMR720942 LVZ720942:LWN720942 MFV720942:MGJ720942 MPR720942:MQF720942 MZN720942:NAB720942 NJJ720942:NJX720942 NTF720942:NTT720942 ODB720942:ODP720942 OMX720942:ONL720942 OWT720942:OXH720942 PGP720942:PHD720942 PQL720942:PQZ720942 QAH720942:QAV720942 QKD720942:QKR720942 QTZ720942:QUN720942 RDV720942:REJ720942 RNR720942:ROF720942 RXN720942:RYB720942 SHJ720942:SHX720942 SRF720942:SRT720942 TBB720942:TBP720942 TKX720942:TLL720942 TUT720942:TVH720942 UEP720942:UFD720942 UOL720942:UOZ720942 UYH720942:UYV720942 VID720942:VIR720942 VRZ720942:VSN720942 WBV720942:WCJ720942 WLR720942:WMF720942 WVN720942:WWB720942 F786478:T786478 JB786478:JP786478 SX786478:TL786478 ACT786478:ADH786478 AMP786478:AND786478 AWL786478:AWZ786478 BGH786478:BGV786478 BQD786478:BQR786478 BZZ786478:CAN786478 CJV786478:CKJ786478 CTR786478:CUF786478 DDN786478:DEB786478 DNJ786478:DNX786478 DXF786478:DXT786478 EHB786478:EHP786478 EQX786478:ERL786478 FAT786478:FBH786478 FKP786478:FLD786478 FUL786478:FUZ786478 GEH786478:GEV786478 GOD786478:GOR786478 GXZ786478:GYN786478 HHV786478:HIJ786478 HRR786478:HSF786478 IBN786478:ICB786478 ILJ786478:ILX786478 IVF786478:IVT786478 JFB786478:JFP786478 JOX786478:JPL786478 JYT786478:JZH786478 KIP786478:KJD786478 KSL786478:KSZ786478 LCH786478:LCV786478 LMD786478:LMR786478 LVZ786478:LWN786478 MFV786478:MGJ786478 MPR786478:MQF786478 MZN786478:NAB786478 NJJ786478:NJX786478 NTF786478:NTT786478 ODB786478:ODP786478 OMX786478:ONL786478 OWT786478:OXH786478 PGP786478:PHD786478 PQL786478:PQZ786478 QAH786478:QAV786478 QKD786478:QKR786478 QTZ786478:QUN786478 RDV786478:REJ786478 RNR786478:ROF786478 RXN786478:RYB786478 SHJ786478:SHX786478 SRF786478:SRT786478 TBB786478:TBP786478 TKX786478:TLL786478 TUT786478:TVH786478 UEP786478:UFD786478 UOL786478:UOZ786478 UYH786478:UYV786478 VID786478:VIR786478 VRZ786478:VSN786478 WBV786478:WCJ786478 WLR786478:WMF786478 WVN786478:WWB786478 F852014:T852014 JB852014:JP852014 SX852014:TL852014 ACT852014:ADH852014 AMP852014:AND852014 AWL852014:AWZ852014 BGH852014:BGV852014 BQD852014:BQR852014 BZZ852014:CAN852014 CJV852014:CKJ852014 CTR852014:CUF852014 DDN852014:DEB852014 DNJ852014:DNX852014 DXF852014:DXT852014 EHB852014:EHP852014 EQX852014:ERL852014 FAT852014:FBH852014 FKP852014:FLD852014 FUL852014:FUZ852014 GEH852014:GEV852014 GOD852014:GOR852014 GXZ852014:GYN852014 HHV852014:HIJ852014 HRR852014:HSF852014 IBN852014:ICB852014 ILJ852014:ILX852014 IVF852014:IVT852014 JFB852014:JFP852014 JOX852014:JPL852014 JYT852014:JZH852014 KIP852014:KJD852014 KSL852014:KSZ852014 LCH852014:LCV852014 LMD852014:LMR852014 LVZ852014:LWN852014 MFV852014:MGJ852014 MPR852014:MQF852014 MZN852014:NAB852014 NJJ852014:NJX852014 NTF852014:NTT852014 ODB852014:ODP852014 OMX852014:ONL852014 OWT852014:OXH852014 PGP852014:PHD852014 PQL852014:PQZ852014 QAH852014:QAV852014 QKD852014:QKR852014 QTZ852014:QUN852014 RDV852014:REJ852014 RNR852014:ROF852014 RXN852014:RYB852014 SHJ852014:SHX852014 SRF852014:SRT852014 TBB852014:TBP852014 TKX852014:TLL852014 TUT852014:TVH852014 UEP852014:UFD852014 UOL852014:UOZ852014 UYH852014:UYV852014 VID852014:VIR852014 VRZ852014:VSN852014 WBV852014:WCJ852014 WLR852014:WMF852014 WVN852014:WWB852014 F917550:T917550 JB917550:JP917550 SX917550:TL917550 ACT917550:ADH917550 AMP917550:AND917550 AWL917550:AWZ917550 BGH917550:BGV917550 BQD917550:BQR917550 BZZ917550:CAN917550 CJV917550:CKJ917550 CTR917550:CUF917550 DDN917550:DEB917550 DNJ917550:DNX917550 DXF917550:DXT917550 EHB917550:EHP917550 EQX917550:ERL917550 FAT917550:FBH917550 FKP917550:FLD917550 FUL917550:FUZ917550 GEH917550:GEV917550 GOD917550:GOR917550 GXZ917550:GYN917550 HHV917550:HIJ917550 HRR917550:HSF917550 IBN917550:ICB917550 ILJ917550:ILX917550 IVF917550:IVT917550 JFB917550:JFP917550 JOX917550:JPL917550 JYT917550:JZH917550 KIP917550:KJD917550 KSL917550:KSZ917550 LCH917550:LCV917550 LMD917550:LMR917550 LVZ917550:LWN917550 MFV917550:MGJ917550 MPR917550:MQF917550 MZN917550:NAB917550 NJJ917550:NJX917550 NTF917550:NTT917550 ODB917550:ODP917550 OMX917550:ONL917550 OWT917550:OXH917550 PGP917550:PHD917550 PQL917550:PQZ917550 QAH917550:QAV917550 QKD917550:QKR917550 QTZ917550:QUN917550 RDV917550:REJ917550 RNR917550:ROF917550 RXN917550:RYB917550 SHJ917550:SHX917550 SRF917550:SRT917550 TBB917550:TBP917550 TKX917550:TLL917550 TUT917550:TVH917550 UEP917550:UFD917550 UOL917550:UOZ917550 UYH917550:UYV917550 VID917550:VIR917550 VRZ917550:VSN917550 WBV917550:WCJ917550 WLR917550:WMF917550 WVN917550:WWB917550 F983086:T983086 JB983086:JP983086 SX983086:TL983086 ACT983086:ADH983086 AMP983086:AND983086 AWL983086:AWZ983086 BGH983086:BGV983086 BQD983086:BQR983086 BZZ983086:CAN983086 CJV983086:CKJ983086 CTR983086:CUF983086 DDN983086:DEB983086 DNJ983086:DNX983086 DXF983086:DXT983086 EHB983086:EHP983086 EQX983086:ERL983086 FAT983086:FBH983086 FKP983086:FLD983086 FUL983086:FUZ983086 GEH983086:GEV983086 GOD983086:GOR983086 GXZ983086:GYN983086 HHV983086:HIJ983086 HRR983086:HSF983086 IBN983086:ICB983086 ILJ983086:ILX983086 IVF983086:IVT983086 JFB983086:JFP983086 JOX983086:JPL983086 JYT983086:JZH983086 KIP983086:KJD983086 KSL983086:KSZ983086 LCH983086:LCV983086 LMD983086:LMR983086 LVZ983086:LWN983086 MFV983086:MGJ983086 MPR983086:MQF983086 MZN983086:NAB983086 NJJ983086:NJX983086 NTF983086:NTT983086 ODB983086:ODP983086 OMX983086:ONL983086 OWT983086:OXH983086 PGP983086:PHD983086 PQL983086:PQZ983086 QAH983086:QAV983086 QKD983086:QKR983086 QTZ983086:QUN983086 RDV983086:REJ983086 RNR983086:ROF983086 RXN983086:RYB983086 SHJ983086:SHX983086 SRF983086:SRT983086 TBB983086:TBP983086 TKX983086:TLL983086 TUT983086:TVH983086 UEP983086:UFD983086 UOL983086:UOZ983086 UYH983086:UYV983086 VID983086:VIR983086 VRZ983086:VSN983086 WBV983086:WCJ983086 WLR983086:WMF983086 F46:T46" xr:uid="{00000000-0002-0000-0100-000000000000}">
      <formula1>"N,A,B, "</formula1>
    </dataValidation>
    <dataValidation type="list" allowBlank="1" showInputMessage="1" showErrorMessage="1" sqref="F47:T47 JB47:JP47 SX47:TL47 ACT47:ADH47 AMP47:AND47 AWL47:AWZ47 BGH47:BGV47 BQD47:BQR47 BZZ47:CAN47 CJV47:CKJ47 CTR47:CUF47 DDN47:DEB47 DNJ47:DNX47 DXF47:DXT47 EHB47:EHP47 EQX47:ERL47 FAT47:FBH47 FKP47:FLD47 FUL47:FUZ47 GEH47:GEV47 GOD47:GOR47 GXZ47:GYN47 HHV47:HIJ47 HRR47:HSF47 IBN47:ICB47 ILJ47:ILX47 IVF47:IVT47 JFB47:JFP47 JOX47:JPL47 JYT47:JZH47 KIP47:KJD47 KSL47:KSZ47 LCH47:LCV47 LMD47:LMR47 LVZ47:LWN47 MFV47:MGJ47 MPR47:MQF47 MZN47:NAB47 NJJ47:NJX47 NTF47:NTT47 ODB47:ODP47 OMX47:ONL47 OWT47:OXH47 PGP47:PHD47 PQL47:PQZ47 QAH47:QAV47 QKD47:QKR47 QTZ47:QUN47 RDV47:REJ47 RNR47:ROF47 RXN47:RYB47 SHJ47:SHX47 SRF47:SRT47 TBB47:TBP47 TKX47:TLL47 TUT47:TVH47 UEP47:UFD47 UOL47:UOZ47 UYH47:UYV47 VID47:VIR47 VRZ47:VSN47 WBV47:WCJ47 WLR47:WMF47 WVN47:WWB47 F65583:T65583 JB65583:JP65583 SX65583:TL65583 ACT65583:ADH65583 AMP65583:AND65583 AWL65583:AWZ65583 BGH65583:BGV65583 BQD65583:BQR65583 BZZ65583:CAN65583 CJV65583:CKJ65583 CTR65583:CUF65583 DDN65583:DEB65583 DNJ65583:DNX65583 DXF65583:DXT65583 EHB65583:EHP65583 EQX65583:ERL65583 FAT65583:FBH65583 FKP65583:FLD65583 FUL65583:FUZ65583 GEH65583:GEV65583 GOD65583:GOR65583 GXZ65583:GYN65583 HHV65583:HIJ65583 HRR65583:HSF65583 IBN65583:ICB65583 ILJ65583:ILX65583 IVF65583:IVT65583 JFB65583:JFP65583 JOX65583:JPL65583 JYT65583:JZH65583 KIP65583:KJD65583 KSL65583:KSZ65583 LCH65583:LCV65583 LMD65583:LMR65583 LVZ65583:LWN65583 MFV65583:MGJ65583 MPR65583:MQF65583 MZN65583:NAB65583 NJJ65583:NJX65583 NTF65583:NTT65583 ODB65583:ODP65583 OMX65583:ONL65583 OWT65583:OXH65583 PGP65583:PHD65583 PQL65583:PQZ65583 QAH65583:QAV65583 QKD65583:QKR65583 QTZ65583:QUN65583 RDV65583:REJ65583 RNR65583:ROF65583 RXN65583:RYB65583 SHJ65583:SHX65583 SRF65583:SRT65583 TBB65583:TBP65583 TKX65583:TLL65583 TUT65583:TVH65583 UEP65583:UFD65583 UOL65583:UOZ65583 UYH65583:UYV65583 VID65583:VIR65583 VRZ65583:VSN65583 WBV65583:WCJ65583 WLR65583:WMF65583 WVN65583:WWB65583 F131119:T131119 JB131119:JP131119 SX131119:TL131119 ACT131119:ADH131119 AMP131119:AND131119 AWL131119:AWZ131119 BGH131119:BGV131119 BQD131119:BQR131119 BZZ131119:CAN131119 CJV131119:CKJ131119 CTR131119:CUF131119 DDN131119:DEB131119 DNJ131119:DNX131119 DXF131119:DXT131119 EHB131119:EHP131119 EQX131119:ERL131119 FAT131119:FBH131119 FKP131119:FLD131119 FUL131119:FUZ131119 GEH131119:GEV131119 GOD131119:GOR131119 GXZ131119:GYN131119 HHV131119:HIJ131119 HRR131119:HSF131119 IBN131119:ICB131119 ILJ131119:ILX131119 IVF131119:IVT131119 JFB131119:JFP131119 JOX131119:JPL131119 JYT131119:JZH131119 KIP131119:KJD131119 KSL131119:KSZ131119 LCH131119:LCV131119 LMD131119:LMR131119 LVZ131119:LWN131119 MFV131119:MGJ131119 MPR131119:MQF131119 MZN131119:NAB131119 NJJ131119:NJX131119 NTF131119:NTT131119 ODB131119:ODP131119 OMX131119:ONL131119 OWT131119:OXH131119 PGP131119:PHD131119 PQL131119:PQZ131119 QAH131119:QAV131119 QKD131119:QKR131119 QTZ131119:QUN131119 RDV131119:REJ131119 RNR131119:ROF131119 RXN131119:RYB131119 SHJ131119:SHX131119 SRF131119:SRT131119 TBB131119:TBP131119 TKX131119:TLL131119 TUT131119:TVH131119 UEP131119:UFD131119 UOL131119:UOZ131119 UYH131119:UYV131119 VID131119:VIR131119 VRZ131119:VSN131119 WBV131119:WCJ131119 WLR131119:WMF131119 WVN131119:WWB131119 F196655:T196655 JB196655:JP196655 SX196655:TL196655 ACT196655:ADH196655 AMP196655:AND196655 AWL196655:AWZ196655 BGH196655:BGV196655 BQD196655:BQR196655 BZZ196655:CAN196655 CJV196655:CKJ196655 CTR196655:CUF196655 DDN196655:DEB196655 DNJ196655:DNX196655 DXF196655:DXT196655 EHB196655:EHP196655 EQX196655:ERL196655 FAT196655:FBH196655 FKP196655:FLD196655 FUL196655:FUZ196655 GEH196655:GEV196655 GOD196655:GOR196655 GXZ196655:GYN196655 HHV196655:HIJ196655 HRR196655:HSF196655 IBN196655:ICB196655 ILJ196655:ILX196655 IVF196655:IVT196655 JFB196655:JFP196655 JOX196655:JPL196655 JYT196655:JZH196655 KIP196655:KJD196655 KSL196655:KSZ196655 LCH196655:LCV196655 LMD196655:LMR196655 LVZ196655:LWN196655 MFV196655:MGJ196655 MPR196655:MQF196655 MZN196655:NAB196655 NJJ196655:NJX196655 NTF196655:NTT196655 ODB196655:ODP196655 OMX196655:ONL196655 OWT196655:OXH196655 PGP196655:PHD196655 PQL196655:PQZ196655 QAH196655:QAV196655 QKD196655:QKR196655 QTZ196655:QUN196655 RDV196655:REJ196655 RNR196655:ROF196655 RXN196655:RYB196655 SHJ196655:SHX196655 SRF196655:SRT196655 TBB196655:TBP196655 TKX196655:TLL196655 TUT196655:TVH196655 UEP196655:UFD196655 UOL196655:UOZ196655 UYH196655:UYV196655 VID196655:VIR196655 VRZ196655:VSN196655 WBV196655:WCJ196655 WLR196655:WMF196655 WVN196655:WWB196655 F262191:T262191 JB262191:JP262191 SX262191:TL262191 ACT262191:ADH262191 AMP262191:AND262191 AWL262191:AWZ262191 BGH262191:BGV262191 BQD262191:BQR262191 BZZ262191:CAN262191 CJV262191:CKJ262191 CTR262191:CUF262191 DDN262191:DEB262191 DNJ262191:DNX262191 DXF262191:DXT262191 EHB262191:EHP262191 EQX262191:ERL262191 FAT262191:FBH262191 FKP262191:FLD262191 FUL262191:FUZ262191 GEH262191:GEV262191 GOD262191:GOR262191 GXZ262191:GYN262191 HHV262191:HIJ262191 HRR262191:HSF262191 IBN262191:ICB262191 ILJ262191:ILX262191 IVF262191:IVT262191 JFB262191:JFP262191 JOX262191:JPL262191 JYT262191:JZH262191 KIP262191:KJD262191 KSL262191:KSZ262191 LCH262191:LCV262191 LMD262191:LMR262191 LVZ262191:LWN262191 MFV262191:MGJ262191 MPR262191:MQF262191 MZN262191:NAB262191 NJJ262191:NJX262191 NTF262191:NTT262191 ODB262191:ODP262191 OMX262191:ONL262191 OWT262191:OXH262191 PGP262191:PHD262191 PQL262191:PQZ262191 QAH262191:QAV262191 QKD262191:QKR262191 QTZ262191:QUN262191 RDV262191:REJ262191 RNR262191:ROF262191 RXN262191:RYB262191 SHJ262191:SHX262191 SRF262191:SRT262191 TBB262191:TBP262191 TKX262191:TLL262191 TUT262191:TVH262191 UEP262191:UFD262191 UOL262191:UOZ262191 UYH262191:UYV262191 VID262191:VIR262191 VRZ262191:VSN262191 WBV262191:WCJ262191 WLR262191:WMF262191 WVN262191:WWB262191 F327727:T327727 JB327727:JP327727 SX327727:TL327727 ACT327727:ADH327727 AMP327727:AND327727 AWL327727:AWZ327727 BGH327727:BGV327727 BQD327727:BQR327727 BZZ327727:CAN327727 CJV327727:CKJ327727 CTR327727:CUF327727 DDN327727:DEB327727 DNJ327727:DNX327727 DXF327727:DXT327727 EHB327727:EHP327727 EQX327727:ERL327727 FAT327727:FBH327727 FKP327727:FLD327727 FUL327727:FUZ327727 GEH327727:GEV327727 GOD327727:GOR327727 GXZ327727:GYN327727 HHV327727:HIJ327727 HRR327727:HSF327727 IBN327727:ICB327727 ILJ327727:ILX327727 IVF327727:IVT327727 JFB327727:JFP327727 JOX327727:JPL327727 JYT327727:JZH327727 KIP327727:KJD327727 KSL327727:KSZ327727 LCH327727:LCV327727 LMD327727:LMR327727 LVZ327727:LWN327727 MFV327727:MGJ327727 MPR327727:MQF327727 MZN327727:NAB327727 NJJ327727:NJX327727 NTF327727:NTT327727 ODB327727:ODP327727 OMX327727:ONL327727 OWT327727:OXH327727 PGP327727:PHD327727 PQL327727:PQZ327727 QAH327727:QAV327727 QKD327727:QKR327727 QTZ327727:QUN327727 RDV327727:REJ327727 RNR327727:ROF327727 RXN327727:RYB327727 SHJ327727:SHX327727 SRF327727:SRT327727 TBB327727:TBP327727 TKX327727:TLL327727 TUT327727:TVH327727 UEP327727:UFD327727 UOL327727:UOZ327727 UYH327727:UYV327727 VID327727:VIR327727 VRZ327727:VSN327727 WBV327727:WCJ327727 WLR327727:WMF327727 WVN327727:WWB327727 F393263:T393263 JB393263:JP393263 SX393263:TL393263 ACT393263:ADH393263 AMP393263:AND393263 AWL393263:AWZ393263 BGH393263:BGV393263 BQD393263:BQR393263 BZZ393263:CAN393263 CJV393263:CKJ393263 CTR393263:CUF393263 DDN393263:DEB393263 DNJ393263:DNX393263 DXF393263:DXT393263 EHB393263:EHP393263 EQX393263:ERL393263 FAT393263:FBH393263 FKP393263:FLD393263 FUL393263:FUZ393263 GEH393263:GEV393263 GOD393263:GOR393263 GXZ393263:GYN393263 HHV393263:HIJ393263 HRR393263:HSF393263 IBN393263:ICB393263 ILJ393263:ILX393263 IVF393263:IVT393263 JFB393263:JFP393263 JOX393263:JPL393263 JYT393263:JZH393263 KIP393263:KJD393263 KSL393263:KSZ393263 LCH393263:LCV393263 LMD393263:LMR393263 LVZ393263:LWN393263 MFV393263:MGJ393263 MPR393263:MQF393263 MZN393263:NAB393263 NJJ393263:NJX393263 NTF393263:NTT393263 ODB393263:ODP393263 OMX393263:ONL393263 OWT393263:OXH393263 PGP393263:PHD393263 PQL393263:PQZ393263 QAH393263:QAV393263 QKD393263:QKR393263 QTZ393263:QUN393263 RDV393263:REJ393263 RNR393263:ROF393263 RXN393263:RYB393263 SHJ393263:SHX393263 SRF393263:SRT393263 TBB393263:TBP393263 TKX393263:TLL393263 TUT393263:TVH393263 UEP393263:UFD393263 UOL393263:UOZ393263 UYH393263:UYV393263 VID393263:VIR393263 VRZ393263:VSN393263 WBV393263:WCJ393263 WLR393263:WMF393263 WVN393263:WWB393263 F458799:T458799 JB458799:JP458799 SX458799:TL458799 ACT458799:ADH458799 AMP458799:AND458799 AWL458799:AWZ458799 BGH458799:BGV458799 BQD458799:BQR458799 BZZ458799:CAN458799 CJV458799:CKJ458799 CTR458799:CUF458799 DDN458799:DEB458799 DNJ458799:DNX458799 DXF458799:DXT458799 EHB458799:EHP458799 EQX458799:ERL458799 FAT458799:FBH458799 FKP458799:FLD458799 FUL458799:FUZ458799 GEH458799:GEV458799 GOD458799:GOR458799 GXZ458799:GYN458799 HHV458799:HIJ458799 HRR458799:HSF458799 IBN458799:ICB458799 ILJ458799:ILX458799 IVF458799:IVT458799 JFB458799:JFP458799 JOX458799:JPL458799 JYT458799:JZH458799 KIP458799:KJD458799 KSL458799:KSZ458799 LCH458799:LCV458799 LMD458799:LMR458799 LVZ458799:LWN458799 MFV458799:MGJ458799 MPR458799:MQF458799 MZN458799:NAB458799 NJJ458799:NJX458799 NTF458799:NTT458799 ODB458799:ODP458799 OMX458799:ONL458799 OWT458799:OXH458799 PGP458799:PHD458799 PQL458799:PQZ458799 QAH458799:QAV458799 QKD458799:QKR458799 QTZ458799:QUN458799 RDV458799:REJ458799 RNR458799:ROF458799 RXN458799:RYB458799 SHJ458799:SHX458799 SRF458799:SRT458799 TBB458799:TBP458799 TKX458799:TLL458799 TUT458799:TVH458799 UEP458799:UFD458799 UOL458799:UOZ458799 UYH458799:UYV458799 VID458799:VIR458799 VRZ458799:VSN458799 WBV458799:WCJ458799 WLR458799:WMF458799 WVN458799:WWB458799 F524335:T524335 JB524335:JP524335 SX524335:TL524335 ACT524335:ADH524335 AMP524335:AND524335 AWL524335:AWZ524335 BGH524335:BGV524335 BQD524335:BQR524335 BZZ524335:CAN524335 CJV524335:CKJ524335 CTR524335:CUF524335 DDN524335:DEB524335 DNJ524335:DNX524335 DXF524335:DXT524335 EHB524335:EHP524335 EQX524335:ERL524335 FAT524335:FBH524335 FKP524335:FLD524335 FUL524335:FUZ524335 GEH524335:GEV524335 GOD524335:GOR524335 GXZ524335:GYN524335 HHV524335:HIJ524335 HRR524335:HSF524335 IBN524335:ICB524335 ILJ524335:ILX524335 IVF524335:IVT524335 JFB524335:JFP524335 JOX524335:JPL524335 JYT524335:JZH524335 KIP524335:KJD524335 KSL524335:KSZ524335 LCH524335:LCV524335 LMD524335:LMR524335 LVZ524335:LWN524335 MFV524335:MGJ524335 MPR524335:MQF524335 MZN524335:NAB524335 NJJ524335:NJX524335 NTF524335:NTT524335 ODB524335:ODP524335 OMX524335:ONL524335 OWT524335:OXH524335 PGP524335:PHD524335 PQL524335:PQZ524335 QAH524335:QAV524335 QKD524335:QKR524335 QTZ524335:QUN524335 RDV524335:REJ524335 RNR524335:ROF524335 RXN524335:RYB524335 SHJ524335:SHX524335 SRF524335:SRT524335 TBB524335:TBP524335 TKX524335:TLL524335 TUT524335:TVH524335 UEP524335:UFD524335 UOL524335:UOZ524335 UYH524335:UYV524335 VID524335:VIR524335 VRZ524335:VSN524335 WBV524335:WCJ524335 WLR524335:WMF524335 WVN524335:WWB524335 F589871:T589871 JB589871:JP589871 SX589871:TL589871 ACT589871:ADH589871 AMP589871:AND589871 AWL589871:AWZ589871 BGH589871:BGV589871 BQD589871:BQR589871 BZZ589871:CAN589871 CJV589871:CKJ589871 CTR589871:CUF589871 DDN589871:DEB589871 DNJ589871:DNX589871 DXF589871:DXT589871 EHB589871:EHP589871 EQX589871:ERL589871 FAT589871:FBH589871 FKP589871:FLD589871 FUL589871:FUZ589871 GEH589871:GEV589871 GOD589871:GOR589871 GXZ589871:GYN589871 HHV589871:HIJ589871 HRR589871:HSF589871 IBN589871:ICB589871 ILJ589871:ILX589871 IVF589871:IVT589871 JFB589871:JFP589871 JOX589871:JPL589871 JYT589871:JZH589871 KIP589871:KJD589871 KSL589871:KSZ589871 LCH589871:LCV589871 LMD589871:LMR589871 LVZ589871:LWN589871 MFV589871:MGJ589871 MPR589871:MQF589871 MZN589871:NAB589871 NJJ589871:NJX589871 NTF589871:NTT589871 ODB589871:ODP589871 OMX589871:ONL589871 OWT589871:OXH589871 PGP589871:PHD589871 PQL589871:PQZ589871 QAH589871:QAV589871 QKD589871:QKR589871 QTZ589871:QUN589871 RDV589871:REJ589871 RNR589871:ROF589871 RXN589871:RYB589871 SHJ589871:SHX589871 SRF589871:SRT589871 TBB589871:TBP589871 TKX589871:TLL589871 TUT589871:TVH589871 UEP589871:UFD589871 UOL589871:UOZ589871 UYH589871:UYV589871 VID589871:VIR589871 VRZ589871:VSN589871 WBV589871:WCJ589871 WLR589871:WMF589871 WVN589871:WWB589871 F655407:T655407 JB655407:JP655407 SX655407:TL655407 ACT655407:ADH655407 AMP655407:AND655407 AWL655407:AWZ655407 BGH655407:BGV655407 BQD655407:BQR655407 BZZ655407:CAN655407 CJV655407:CKJ655407 CTR655407:CUF655407 DDN655407:DEB655407 DNJ655407:DNX655407 DXF655407:DXT655407 EHB655407:EHP655407 EQX655407:ERL655407 FAT655407:FBH655407 FKP655407:FLD655407 FUL655407:FUZ655407 GEH655407:GEV655407 GOD655407:GOR655407 GXZ655407:GYN655407 HHV655407:HIJ655407 HRR655407:HSF655407 IBN655407:ICB655407 ILJ655407:ILX655407 IVF655407:IVT655407 JFB655407:JFP655407 JOX655407:JPL655407 JYT655407:JZH655407 KIP655407:KJD655407 KSL655407:KSZ655407 LCH655407:LCV655407 LMD655407:LMR655407 LVZ655407:LWN655407 MFV655407:MGJ655407 MPR655407:MQF655407 MZN655407:NAB655407 NJJ655407:NJX655407 NTF655407:NTT655407 ODB655407:ODP655407 OMX655407:ONL655407 OWT655407:OXH655407 PGP655407:PHD655407 PQL655407:PQZ655407 QAH655407:QAV655407 QKD655407:QKR655407 QTZ655407:QUN655407 RDV655407:REJ655407 RNR655407:ROF655407 RXN655407:RYB655407 SHJ655407:SHX655407 SRF655407:SRT655407 TBB655407:TBP655407 TKX655407:TLL655407 TUT655407:TVH655407 UEP655407:UFD655407 UOL655407:UOZ655407 UYH655407:UYV655407 VID655407:VIR655407 VRZ655407:VSN655407 WBV655407:WCJ655407 WLR655407:WMF655407 WVN655407:WWB655407 F720943:T720943 JB720943:JP720943 SX720943:TL720943 ACT720943:ADH720943 AMP720943:AND720943 AWL720943:AWZ720943 BGH720943:BGV720943 BQD720943:BQR720943 BZZ720943:CAN720943 CJV720943:CKJ720943 CTR720943:CUF720943 DDN720943:DEB720943 DNJ720943:DNX720943 DXF720943:DXT720943 EHB720943:EHP720943 EQX720943:ERL720943 FAT720943:FBH720943 FKP720943:FLD720943 FUL720943:FUZ720943 GEH720943:GEV720943 GOD720943:GOR720943 GXZ720943:GYN720943 HHV720943:HIJ720943 HRR720943:HSF720943 IBN720943:ICB720943 ILJ720943:ILX720943 IVF720943:IVT720943 JFB720943:JFP720943 JOX720943:JPL720943 JYT720943:JZH720943 KIP720943:KJD720943 KSL720943:KSZ720943 LCH720943:LCV720943 LMD720943:LMR720943 LVZ720943:LWN720943 MFV720943:MGJ720943 MPR720943:MQF720943 MZN720943:NAB720943 NJJ720943:NJX720943 NTF720943:NTT720943 ODB720943:ODP720943 OMX720943:ONL720943 OWT720943:OXH720943 PGP720943:PHD720943 PQL720943:PQZ720943 QAH720943:QAV720943 QKD720943:QKR720943 QTZ720943:QUN720943 RDV720943:REJ720943 RNR720943:ROF720943 RXN720943:RYB720943 SHJ720943:SHX720943 SRF720943:SRT720943 TBB720943:TBP720943 TKX720943:TLL720943 TUT720943:TVH720943 UEP720943:UFD720943 UOL720943:UOZ720943 UYH720943:UYV720943 VID720943:VIR720943 VRZ720943:VSN720943 WBV720943:WCJ720943 WLR720943:WMF720943 WVN720943:WWB720943 F786479:T786479 JB786479:JP786479 SX786479:TL786479 ACT786479:ADH786479 AMP786479:AND786479 AWL786479:AWZ786479 BGH786479:BGV786479 BQD786479:BQR786479 BZZ786479:CAN786479 CJV786479:CKJ786479 CTR786479:CUF786479 DDN786479:DEB786479 DNJ786479:DNX786479 DXF786479:DXT786479 EHB786479:EHP786479 EQX786479:ERL786479 FAT786479:FBH786479 FKP786479:FLD786479 FUL786479:FUZ786479 GEH786479:GEV786479 GOD786479:GOR786479 GXZ786479:GYN786479 HHV786479:HIJ786479 HRR786479:HSF786479 IBN786479:ICB786479 ILJ786479:ILX786479 IVF786479:IVT786479 JFB786479:JFP786479 JOX786479:JPL786479 JYT786479:JZH786479 KIP786479:KJD786479 KSL786479:KSZ786479 LCH786479:LCV786479 LMD786479:LMR786479 LVZ786479:LWN786479 MFV786479:MGJ786479 MPR786479:MQF786479 MZN786479:NAB786479 NJJ786479:NJX786479 NTF786479:NTT786479 ODB786479:ODP786479 OMX786479:ONL786479 OWT786479:OXH786479 PGP786479:PHD786479 PQL786479:PQZ786479 QAH786479:QAV786479 QKD786479:QKR786479 QTZ786479:QUN786479 RDV786479:REJ786479 RNR786479:ROF786479 RXN786479:RYB786479 SHJ786479:SHX786479 SRF786479:SRT786479 TBB786479:TBP786479 TKX786479:TLL786479 TUT786479:TVH786479 UEP786479:UFD786479 UOL786479:UOZ786479 UYH786479:UYV786479 VID786479:VIR786479 VRZ786479:VSN786479 WBV786479:WCJ786479 WLR786479:WMF786479 WVN786479:WWB786479 F852015:T852015 JB852015:JP852015 SX852015:TL852015 ACT852015:ADH852015 AMP852015:AND852015 AWL852015:AWZ852015 BGH852015:BGV852015 BQD852015:BQR852015 BZZ852015:CAN852015 CJV852015:CKJ852015 CTR852015:CUF852015 DDN852015:DEB852015 DNJ852015:DNX852015 DXF852015:DXT852015 EHB852015:EHP852015 EQX852015:ERL852015 FAT852015:FBH852015 FKP852015:FLD852015 FUL852015:FUZ852015 GEH852015:GEV852015 GOD852015:GOR852015 GXZ852015:GYN852015 HHV852015:HIJ852015 HRR852015:HSF852015 IBN852015:ICB852015 ILJ852015:ILX852015 IVF852015:IVT852015 JFB852015:JFP852015 JOX852015:JPL852015 JYT852015:JZH852015 KIP852015:KJD852015 KSL852015:KSZ852015 LCH852015:LCV852015 LMD852015:LMR852015 LVZ852015:LWN852015 MFV852015:MGJ852015 MPR852015:MQF852015 MZN852015:NAB852015 NJJ852015:NJX852015 NTF852015:NTT852015 ODB852015:ODP852015 OMX852015:ONL852015 OWT852015:OXH852015 PGP852015:PHD852015 PQL852015:PQZ852015 QAH852015:QAV852015 QKD852015:QKR852015 QTZ852015:QUN852015 RDV852015:REJ852015 RNR852015:ROF852015 RXN852015:RYB852015 SHJ852015:SHX852015 SRF852015:SRT852015 TBB852015:TBP852015 TKX852015:TLL852015 TUT852015:TVH852015 UEP852015:UFD852015 UOL852015:UOZ852015 UYH852015:UYV852015 VID852015:VIR852015 VRZ852015:VSN852015 WBV852015:WCJ852015 WLR852015:WMF852015 WVN852015:WWB852015 F917551:T917551 JB917551:JP917551 SX917551:TL917551 ACT917551:ADH917551 AMP917551:AND917551 AWL917551:AWZ917551 BGH917551:BGV917551 BQD917551:BQR917551 BZZ917551:CAN917551 CJV917551:CKJ917551 CTR917551:CUF917551 DDN917551:DEB917551 DNJ917551:DNX917551 DXF917551:DXT917551 EHB917551:EHP917551 EQX917551:ERL917551 FAT917551:FBH917551 FKP917551:FLD917551 FUL917551:FUZ917551 GEH917551:GEV917551 GOD917551:GOR917551 GXZ917551:GYN917551 HHV917551:HIJ917551 HRR917551:HSF917551 IBN917551:ICB917551 ILJ917551:ILX917551 IVF917551:IVT917551 JFB917551:JFP917551 JOX917551:JPL917551 JYT917551:JZH917551 KIP917551:KJD917551 KSL917551:KSZ917551 LCH917551:LCV917551 LMD917551:LMR917551 LVZ917551:LWN917551 MFV917551:MGJ917551 MPR917551:MQF917551 MZN917551:NAB917551 NJJ917551:NJX917551 NTF917551:NTT917551 ODB917551:ODP917551 OMX917551:ONL917551 OWT917551:OXH917551 PGP917551:PHD917551 PQL917551:PQZ917551 QAH917551:QAV917551 QKD917551:QKR917551 QTZ917551:QUN917551 RDV917551:REJ917551 RNR917551:ROF917551 RXN917551:RYB917551 SHJ917551:SHX917551 SRF917551:SRT917551 TBB917551:TBP917551 TKX917551:TLL917551 TUT917551:TVH917551 UEP917551:UFD917551 UOL917551:UOZ917551 UYH917551:UYV917551 VID917551:VIR917551 VRZ917551:VSN917551 WBV917551:WCJ917551 WLR917551:WMF917551 WVN917551:WWB917551 F983087:T983087 JB983087:JP983087 SX983087:TL983087 ACT983087:ADH983087 AMP983087:AND983087 AWL983087:AWZ983087 BGH983087:BGV983087 BQD983087:BQR983087 BZZ983087:CAN983087 CJV983087:CKJ983087 CTR983087:CUF983087 DDN983087:DEB983087 DNJ983087:DNX983087 DXF983087:DXT983087 EHB983087:EHP983087 EQX983087:ERL983087 FAT983087:FBH983087 FKP983087:FLD983087 FUL983087:FUZ983087 GEH983087:GEV983087 GOD983087:GOR983087 GXZ983087:GYN983087 HHV983087:HIJ983087 HRR983087:HSF983087 IBN983087:ICB983087 ILJ983087:ILX983087 IVF983087:IVT983087 JFB983087:JFP983087 JOX983087:JPL983087 JYT983087:JZH983087 KIP983087:KJD983087 KSL983087:KSZ983087 LCH983087:LCV983087 LMD983087:LMR983087 LVZ983087:LWN983087 MFV983087:MGJ983087 MPR983087:MQF983087 MZN983087:NAB983087 NJJ983087:NJX983087 NTF983087:NTT983087 ODB983087:ODP983087 OMX983087:ONL983087 OWT983087:OXH983087 PGP983087:PHD983087 PQL983087:PQZ983087 QAH983087:QAV983087 QKD983087:QKR983087 QTZ983087:QUN983087 RDV983087:REJ983087 RNR983087:ROF983087 RXN983087:RYB983087 SHJ983087:SHX983087 SRF983087:SRT983087 TBB983087:TBP983087 TKX983087:TLL983087 TUT983087:TVH983087 UEP983087:UFD983087 UOL983087:UOZ983087 UYH983087:UYV983087 VID983087:VIR983087 VRZ983087:VSN983087 WBV983087:WCJ983087 WLR983087:WMF983087 WVN983087:WWB983087" xr:uid="{00000000-0002-0000-0100-000001000000}">
      <formula1>"P,F, "</formula1>
    </dataValidation>
    <dataValidation type="list" allowBlank="1" showInputMessage="1" showErrorMessage="1" sqref="WVN983057:WWB983085 F65553:T65581 JB65553:JP65581 SX65553:TL65581 ACT65553:ADH65581 AMP65553:AND65581 AWL65553:AWZ65581 BGH65553:BGV65581 BQD65553:BQR65581 BZZ65553:CAN65581 CJV65553:CKJ65581 CTR65553:CUF65581 DDN65553:DEB65581 DNJ65553:DNX65581 DXF65553:DXT65581 EHB65553:EHP65581 EQX65553:ERL65581 FAT65553:FBH65581 FKP65553:FLD65581 FUL65553:FUZ65581 GEH65553:GEV65581 GOD65553:GOR65581 GXZ65553:GYN65581 HHV65553:HIJ65581 HRR65553:HSF65581 IBN65553:ICB65581 ILJ65553:ILX65581 IVF65553:IVT65581 JFB65553:JFP65581 JOX65553:JPL65581 JYT65553:JZH65581 KIP65553:KJD65581 KSL65553:KSZ65581 LCH65553:LCV65581 LMD65553:LMR65581 LVZ65553:LWN65581 MFV65553:MGJ65581 MPR65553:MQF65581 MZN65553:NAB65581 NJJ65553:NJX65581 NTF65553:NTT65581 ODB65553:ODP65581 OMX65553:ONL65581 OWT65553:OXH65581 PGP65553:PHD65581 PQL65553:PQZ65581 QAH65553:QAV65581 QKD65553:QKR65581 QTZ65553:QUN65581 RDV65553:REJ65581 RNR65553:ROF65581 RXN65553:RYB65581 SHJ65553:SHX65581 SRF65553:SRT65581 TBB65553:TBP65581 TKX65553:TLL65581 TUT65553:TVH65581 UEP65553:UFD65581 UOL65553:UOZ65581 UYH65553:UYV65581 VID65553:VIR65581 VRZ65553:VSN65581 WBV65553:WCJ65581 WLR65553:WMF65581 WVN65553:WWB65581 F131089:T131117 JB131089:JP131117 SX131089:TL131117 ACT131089:ADH131117 AMP131089:AND131117 AWL131089:AWZ131117 BGH131089:BGV131117 BQD131089:BQR131117 BZZ131089:CAN131117 CJV131089:CKJ131117 CTR131089:CUF131117 DDN131089:DEB131117 DNJ131089:DNX131117 DXF131089:DXT131117 EHB131089:EHP131117 EQX131089:ERL131117 FAT131089:FBH131117 FKP131089:FLD131117 FUL131089:FUZ131117 GEH131089:GEV131117 GOD131089:GOR131117 GXZ131089:GYN131117 HHV131089:HIJ131117 HRR131089:HSF131117 IBN131089:ICB131117 ILJ131089:ILX131117 IVF131089:IVT131117 JFB131089:JFP131117 JOX131089:JPL131117 JYT131089:JZH131117 KIP131089:KJD131117 KSL131089:KSZ131117 LCH131089:LCV131117 LMD131089:LMR131117 LVZ131089:LWN131117 MFV131089:MGJ131117 MPR131089:MQF131117 MZN131089:NAB131117 NJJ131089:NJX131117 NTF131089:NTT131117 ODB131089:ODP131117 OMX131089:ONL131117 OWT131089:OXH131117 PGP131089:PHD131117 PQL131089:PQZ131117 QAH131089:QAV131117 QKD131089:QKR131117 QTZ131089:QUN131117 RDV131089:REJ131117 RNR131089:ROF131117 RXN131089:RYB131117 SHJ131089:SHX131117 SRF131089:SRT131117 TBB131089:TBP131117 TKX131089:TLL131117 TUT131089:TVH131117 UEP131089:UFD131117 UOL131089:UOZ131117 UYH131089:UYV131117 VID131089:VIR131117 VRZ131089:VSN131117 WBV131089:WCJ131117 WLR131089:WMF131117 WVN131089:WWB131117 F196625:T196653 JB196625:JP196653 SX196625:TL196653 ACT196625:ADH196653 AMP196625:AND196653 AWL196625:AWZ196653 BGH196625:BGV196653 BQD196625:BQR196653 BZZ196625:CAN196653 CJV196625:CKJ196653 CTR196625:CUF196653 DDN196625:DEB196653 DNJ196625:DNX196653 DXF196625:DXT196653 EHB196625:EHP196653 EQX196625:ERL196653 FAT196625:FBH196653 FKP196625:FLD196653 FUL196625:FUZ196653 GEH196625:GEV196653 GOD196625:GOR196653 GXZ196625:GYN196653 HHV196625:HIJ196653 HRR196625:HSF196653 IBN196625:ICB196653 ILJ196625:ILX196653 IVF196625:IVT196653 JFB196625:JFP196653 JOX196625:JPL196653 JYT196625:JZH196653 KIP196625:KJD196653 KSL196625:KSZ196653 LCH196625:LCV196653 LMD196625:LMR196653 LVZ196625:LWN196653 MFV196625:MGJ196653 MPR196625:MQF196653 MZN196625:NAB196653 NJJ196625:NJX196653 NTF196625:NTT196653 ODB196625:ODP196653 OMX196625:ONL196653 OWT196625:OXH196653 PGP196625:PHD196653 PQL196625:PQZ196653 QAH196625:QAV196653 QKD196625:QKR196653 QTZ196625:QUN196653 RDV196625:REJ196653 RNR196625:ROF196653 RXN196625:RYB196653 SHJ196625:SHX196653 SRF196625:SRT196653 TBB196625:TBP196653 TKX196625:TLL196653 TUT196625:TVH196653 UEP196625:UFD196653 UOL196625:UOZ196653 UYH196625:UYV196653 VID196625:VIR196653 VRZ196625:VSN196653 WBV196625:WCJ196653 WLR196625:WMF196653 WVN196625:WWB196653 F262161:T262189 JB262161:JP262189 SX262161:TL262189 ACT262161:ADH262189 AMP262161:AND262189 AWL262161:AWZ262189 BGH262161:BGV262189 BQD262161:BQR262189 BZZ262161:CAN262189 CJV262161:CKJ262189 CTR262161:CUF262189 DDN262161:DEB262189 DNJ262161:DNX262189 DXF262161:DXT262189 EHB262161:EHP262189 EQX262161:ERL262189 FAT262161:FBH262189 FKP262161:FLD262189 FUL262161:FUZ262189 GEH262161:GEV262189 GOD262161:GOR262189 GXZ262161:GYN262189 HHV262161:HIJ262189 HRR262161:HSF262189 IBN262161:ICB262189 ILJ262161:ILX262189 IVF262161:IVT262189 JFB262161:JFP262189 JOX262161:JPL262189 JYT262161:JZH262189 KIP262161:KJD262189 KSL262161:KSZ262189 LCH262161:LCV262189 LMD262161:LMR262189 LVZ262161:LWN262189 MFV262161:MGJ262189 MPR262161:MQF262189 MZN262161:NAB262189 NJJ262161:NJX262189 NTF262161:NTT262189 ODB262161:ODP262189 OMX262161:ONL262189 OWT262161:OXH262189 PGP262161:PHD262189 PQL262161:PQZ262189 QAH262161:QAV262189 QKD262161:QKR262189 QTZ262161:QUN262189 RDV262161:REJ262189 RNR262161:ROF262189 RXN262161:RYB262189 SHJ262161:SHX262189 SRF262161:SRT262189 TBB262161:TBP262189 TKX262161:TLL262189 TUT262161:TVH262189 UEP262161:UFD262189 UOL262161:UOZ262189 UYH262161:UYV262189 VID262161:VIR262189 VRZ262161:VSN262189 WBV262161:WCJ262189 WLR262161:WMF262189 WVN262161:WWB262189 F327697:T327725 JB327697:JP327725 SX327697:TL327725 ACT327697:ADH327725 AMP327697:AND327725 AWL327697:AWZ327725 BGH327697:BGV327725 BQD327697:BQR327725 BZZ327697:CAN327725 CJV327697:CKJ327725 CTR327697:CUF327725 DDN327697:DEB327725 DNJ327697:DNX327725 DXF327697:DXT327725 EHB327697:EHP327725 EQX327697:ERL327725 FAT327697:FBH327725 FKP327697:FLD327725 FUL327697:FUZ327725 GEH327697:GEV327725 GOD327697:GOR327725 GXZ327697:GYN327725 HHV327697:HIJ327725 HRR327697:HSF327725 IBN327697:ICB327725 ILJ327697:ILX327725 IVF327697:IVT327725 JFB327697:JFP327725 JOX327697:JPL327725 JYT327697:JZH327725 KIP327697:KJD327725 KSL327697:KSZ327725 LCH327697:LCV327725 LMD327697:LMR327725 LVZ327697:LWN327725 MFV327697:MGJ327725 MPR327697:MQF327725 MZN327697:NAB327725 NJJ327697:NJX327725 NTF327697:NTT327725 ODB327697:ODP327725 OMX327697:ONL327725 OWT327697:OXH327725 PGP327697:PHD327725 PQL327697:PQZ327725 QAH327697:QAV327725 QKD327697:QKR327725 QTZ327697:QUN327725 RDV327697:REJ327725 RNR327697:ROF327725 RXN327697:RYB327725 SHJ327697:SHX327725 SRF327697:SRT327725 TBB327697:TBP327725 TKX327697:TLL327725 TUT327697:TVH327725 UEP327697:UFD327725 UOL327697:UOZ327725 UYH327697:UYV327725 VID327697:VIR327725 VRZ327697:VSN327725 WBV327697:WCJ327725 WLR327697:WMF327725 WVN327697:WWB327725 F393233:T393261 JB393233:JP393261 SX393233:TL393261 ACT393233:ADH393261 AMP393233:AND393261 AWL393233:AWZ393261 BGH393233:BGV393261 BQD393233:BQR393261 BZZ393233:CAN393261 CJV393233:CKJ393261 CTR393233:CUF393261 DDN393233:DEB393261 DNJ393233:DNX393261 DXF393233:DXT393261 EHB393233:EHP393261 EQX393233:ERL393261 FAT393233:FBH393261 FKP393233:FLD393261 FUL393233:FUZ393261 GEH393233:GEV393261 GOD393233:GOR393261 GXZ393233:GYN393261 HHV393233:HIJ393261 HRR393233:HSF393261 IBN393233:ICB393261 ILJ393233:ILX393261 IVF393233:IVT393261 JFB393233:JFP393261 JOX393233:JPL393261 JYT393233:JZH393261 KIP393233:KJD393261 KSL393233:KSZ393261 LCH393233:LCV393261 LMD393233:LMR393261 LVZ393233:LWN393261 MFV393233:MGJ393261 MPR393233:MQF393261 MZN393233:NAB393261 NJJ393233:NJX393261 NTF393233:NTT393261 ODB393233:ODP393261 OMX393233:ONL393261 OWT393233:OXH393261 PGP393233:PHD393261 PQL393233:PQZ393261 QAH393233:QAV393261 QKD393233:QKR393261 QTZ393233:QUN393261 RDV393233:REJ393261 RNR393233:ROF393261 RXN393233:RYB393261 SHJ393233:SHX393261 SRF393233:SRT393261 TBB393233:TBP393261 TKX393233:TLL393261 TUT393233:TVH393261 UEP393233:UFD393261 UOL393233:UOZ393261 UYH393233:UYV393261 VID393233:VIR393261 VRZ393233:VSN393261 WBV393233:WCJ393261 WLR393233:WMF393261 WVN393233:WWB393261 F458769:T458797 JB458769:JP458797 SX458769:TL458797 ACT458769:ADH458797 AMP458769:AND458797 AWL458769:AWZ458797 BGH458769:BGV458797 BQD458769:BQR458797 BZZ458769:CAN458797 CJV458769:CKJ458797 CTR458769:CUF458797 DDN458769:DEB458797 DNJ458769:DNX458797 DXF458769:DXT458797 EHB458769:EHP458797 EQX458769:ERL458797 FAT458769:FBH458797 FKP458769:FLD458797 FUL458769:FUZ458797 GEH458769:GEV458797 GOD458769:GOR458797 GXZ458769:GYN458797 HHV458769:HIJ458797 HRR458769:HSF458797 IBN458769:ICB458797 ILJ458769:ILX458797 IVF458769:IVT458797 JFB458769:JFP458797 JOX458769:JPL458797 JYT458769:JZH458797 KIP458769:KJD458797 KSL458769:KSZ458797 LCH458769:LCV458797 LMD458769:LMR458797 LVZ458769:LWN458797 MFV458769:MGJ458797 MPR458769:MQF458797 MZN458769:NAB458797 NJJ458769:NJX458797 NTF458769:NTT458797 ODB458769:ODP458797 OMX458769:ONL458797 OWT458769:OXH458797 PGP458769:PHD458797 PQL458769:PQZ458797 QAH458769:QAV458797 QKD458769:QKR458797 QTZ458769:QUN458797 RDV458769:REJ458797 RNR458769:ROF458797 RXN458769:RYB458797 SHJ458769:SHX458797 SRF458769:SRT458797 TBB458769:TBP458797 TKX458769:TLL458797 TUT458769:TVH458797 UEP458769:UFD458797 UOL458769:UOZ458797 UYH458769:UYV458797 VID458769:VIR458797 VRZ458769:VSN458797 WBV458769:WCJ458797 WLR458769:WMF458797 WVN458769:WWB458797 F524305:T524333 JB524305:JP524333 SX524305:TL524333 ACT524305:ADH524333 AMP524305:AND524333 AWL524305:AWZ524333 BGH524305:BGV524333 BQD524305:BQR524333 BZZ524305:CAN524333 CJV524305:CKJ524333 CTR524305:CUF524333 DDN524305:DEB524333 DNJ524305:DNX524333 DXF524305:DXT524333 EHB524305:EHP524333 EQX524305:ERL524333 FAT524305:FBH524333 FKP524305:FLD524333 FUL524305:FUZ524333 GEH524305:GEV524333 GOD524305:GOR524333 GXZ524305:GYN524333 HHV524305:HIJ524333 HRR524305:HSF524333 IBN524305:ICB524333 ILJ524305:ILX524333 IVF524305:IVT524333 JFB524305:JFP524333 JOX524305:JPL524333 JYT524305:JZH524333 KIP524305:KJD524333 KSL524305:KSZ524333 LCH524305:LCV524333 LMD524305:LMR524333 LVZ524305:LWN524333 MFV524305:MGJ524333 MPR524305:MQF524333 MZN524305:NAB524333 NJJ524305:NJX524333 NTF524305:NTT524333 ODB524305:ODP524333 OMX524305:ONL524333 OWT524305:OXH524333 PGP524305:PHD524333 PQL524305:PQZ524333 QAH524305:QAV524333 QKD524305:QKR524333 QTZ524305:QUN524333 RDV524305:REJ524333 RNR524305:ROF524333 RXN524305:RYB524333 SHJ524305:SHX524333 SRF524305:SRT524333 TBB524305:TBP524333 TKX524305:TLL524333 TUT524305:TVH524333 UEP524305:UFD524333 UOL524305:UOZ524333 UYH524305:UYV524333 VID524305:VIR524333 VRZ524305:VSN524333 WBV524305:WCJ524333 WLR524305:WMF524333 WVN524305:WWB524333 F589841:T589869 JB589841:JP589869 SX589841:TL589869 ACT589841:ADH589869 AMP589841:AND589869 AWL589841:AWZ589869 BGH589841:BGV589869 BQD589841:BQR589869 BZZ589841:CAN589869 CJV589841:CKJ589869 CTR589841:CUF589869 DDN589841:DEB589869 DNJ589841:DNX589869 DXF589841:DXT589869 EHB589841:EHP589869 EQX589841:ERL589869 FAT589841:FBH589869 FKP589841:FLD589869 FUL589841:FUZ589869 GEH589841:GEV589869 GOD589841:GOR589869 GXZ589841:GYN589869 HHV589841:HIJ589869 HRR589841:HSF589869 IBN589841:ICB589869 ILJ589841:ILX589869 IVF589841:IVT589869 JFB589841:JFP589869 JOX589841:JPL589869 JYT589841:JZH589869 KIP589841:KJD589869 KSL589841:KSZ589869 LCH589841:LCV589869 LMD589841:LMR589869 LVZ589841:LWN589869 MFV589841:MGJ589869 MPR589841:MQF589869 MZN589841:NAB589869 NJJ589841:NJX589869 NTF589841:NTT589869 ODB589841:ODP589869 OMX589841:ONL589869 OWT589841:OXH589869 PGP589841:PHD589869 PQL589841:PQZ589869 QAH589841:QAV589869 QKD589841:QKR589869 QTZ589841:QUN589869 RDV589841:REJ589869 RNR589841:ROF589869 RXN589841:RYB589869 SHJ589841:SHX589869 SRF589841:SRT589869 TBB589841:TBP589869 TKX589841:TLL589869 TUT589841:TVH589869 UEP589841:UFD589869 UOL589841:UOZ589869 UYH589841:UYV589869 VID589841:VIR589869 VRZ589841:VSN589869 WBV589841:WCJ589869 WLR589841:WMF589869 WVN589841:WWB589869 F655377:T655405 JB655377:JP655405 SX655377:TL655405 ACT655377:ADH655405 AMP655377:AND655405 AWL655377:AWZ655405 BGH655377:BGV655405 BQD655377:BQR655405 BZZ655377:CAN655405 CJV655377:CKJ655405 CTR655377:CUF655405 DDN655377:DEB655405 DNJ655377:DNX655405 DXF655377:DXT655405 EHB655377:EHP655405 EQX655377:ERL655405 FAT655377:FBH655405 FKP655377:FLD655405 FUL655377:FUZ655405 GEH655377:GEV655405 GOD655377:GOR655405 GXZ655377:GYN655405 HHV655377:HIJ655405 HRR655377:HSF655405 IBN655377:ICB655405 ILJ655377:ILX655405 IVF655377:IVT655405 JFB655377:JFP655405 JOX655377:JPL655405 JYT655377:JZH655405 KIP655377:KJD655405 KSL655377:KSZ655405 LCH655377:LCV655405 LMD655377:LMR655405 LVZ655377:LWN655405 MFV655377:MGJ655405 MPR655377:MQF655405 MZN655377:NAB655405 NJJ655377:NJX655405 NTF655377:NTT655405 ODB655377:ODP655405 OMX655377:ONL655405 OWT655377:OXH655405 PGP655377:PHD655405 PQL655377:PQZ655405 QAH655377:QAV655405 QKD655377:QKR655405 QTZ655377:QUN655405 RDV655377:REJ655405 RNR655377:ROF655405 RXN655377:RYB655405 SHJ655377:SHX655405 SRF655377:SRT655405 TBB655377:TBP655405 TKX655377:TLL655405 TUT655377:TVH655405 UEP655377:UFD655405 UOL655377:UOZ655405 UYH655377:UYV655405 VID655377:VIR655405 VRZ655377:VSN655405 WBV655377:WCJ655405 WLR655377:WMF655405 WVN655377:WWB655405 F720913:T720941 JB720913:JP720941 SX720913:TL720941 ACT720913:ADH720941 AMP720913:AND720941 AWL720913:AWZ720941 BGH720913:BGV720941 BQD720913:BQR720941 BZZ720913:CAN720941 CJV720913:CKJ720941 CTR720913:CUF720941 DDN720913:DEB720941 DNJ720913:DNX720941 DXF720913:DXT720941 EHB720913:EHP720941 EQX720913:ERL720941 FAT720913:FBH720941 FKP720913:FLD720941 FUL720913:FUZ720941 GEH720913:GEV720941 GOD720913:GOR720941 GXZ720913:GYN720941 HHV720913:HIJ720941 HRR720913:HSF720941 IBN720913:ICB720941 ILJ720913:ILX720941 IVF720913:IVT720941 JFB720913:JFP720941 JOX720913:JPL720941 JYT720913:JZH720941 KIP720913:KJD720941 KSL720913:KSZ720941 LCH720913:LCV720941 LMD720913:LMR720941 LVZ720913:LWN720941 MFV720913:MGJ720941 MPR720913:MQF720941 MZN720913:NAB720941 NJJ720913:NJX720941 NTF720913:NTT720941 ODB720913:ODP720941 OMX720913:ONL720941 OWT720913:OXH720941 PGP720913:PHD720941 PQL720913:PQZ720941 QAH720913:QAV720941 QKD720913:QKR720941 QTZ720913:QUN720941 RDV720913:REJ720941 RNR720913:ROF720941 RXN720913:RYB720941 SHJ720913:SHX720941 SRF720913:SRT720941 TBB720913:TBP720941 TKX720913:TLL720941 TUT720913:TVH720941 UEP720913:UFD720941 UOL720913:UOZ720941 UYH720913:UYV720941 VID720913:VIR720941 VRZ720913:VSN720941 WBV720913:WCJ720941 WLR720913:WMF720941 WVN720913:WWB720941 F786449:T786477 JB786449:JP786477 SX786449:TL786477 ACT786449:ADH786477 AMP786449:AND786477 AWL786449:AWZ786477 BGH786449:BGV786477 BQD786449:BQR786477 BZZ786449:CAN786477 CJV786449:CKJ786477 CTR786449:CUF786477 DDN786449:DEB786477 DNJ786449:DNX786477 DXF786449:DXT786477 EHB786449:EHP786477 EQX786449:ERL786477 FAT786449:FBH786477 FKP786449:FLD786477 FUL786449:FUZ786477 GEH786449:GEV786477 GOD786449:GOR786477 GXZ786449:GYN786477 HHV786449:HIJ786477 HRR786449:HSF786477 IBN786449:ICB786477 ILJ786449:ILX786477 IVF786449:IVT786477 JFB786449:JFP786477 JOX786449:JPL786477 JYT786449:JZH786477 KIP786449:KJD786477 KSL786449:KSZ786477 LCH786449:LCV786477 LMD786449:LMR786477 LVZ786449:LWN786477 MFV786449:MGJ786477 MPR786449:MQF786477 MZN786449:NAB786477 NJJ786449:NJX786477 NTF786449:NTT786477 ODB786449:ODP786477 OMX786449:ONL786477 OWT786449:OXH786477 PGP786449:PHD786477 PQL786449:PQZ786477 QAH786449:QAV786477 QKD786449:QKR786477 QTZ786449:QUN786477 RDV786449:REJ786477 RNR786449:ROF786477 RXN786449:RYB786477 SHJ786449:SHX786477 SRF786449:SRT786477 TBB786449:TBP786477 TKX786449:TLL786477 TUT786449:TVH786477 UEP786449:UFD786477 UOL786449:UOZ786477 UYH786449:UYV786477 VID786449:VIR786477 VRZ786449:VSN786477 WBV786449:WCJ786477 WLR786449:WMF786477 WVN786449:WWB786477 F851985:T852013 JB851985:JP852013 SX851985:TL852013 ACT851985:ADH852013 AMP851985:AND852013 AWL851985:AWZ852013 BGH851985:BGV852013 BQD851985:BQR852013 BZZ851985:CAN852013 CJV851985:CKJ852013 CTR851985:CUF852013 DDN851985:DEB852013 DNJ851985:DNX852013 DXF851985:DXT852013 EHB851985:EHP852013 EQX851985:ERL852013 FAT851985:FBH852013 FKP851985:FLD852013 FUL851985:FUZ852013 GEH851985:GEV852013 GOD851985:GOR852013 GXZ851985:GYN852013 HHV851985:HIJ852013 HRR851985:HSF852013 IBN851985:ICB852013 ILJ851985:ILX852013 IVF851985:IVT852013 JFB851985:JFP852013 JOX851985:JPL852013 JYT851985:JZH852013 KIP851985:KJD852013 KSL851985:KSZ852013 LCH851985:LCV852013 LMD851985:LMR852013 LVZ851985:LWN852013 MFV851985:MGJ852013 MPR851985:MQF852013 MZN851985:NAB852013 NJJ851985:NJX852013 NTF851985:NTT852013 ODB851985:ODP852013 OMX851985:ONL852013 OWT851985:OXH852013 PGP851985:PHD852013 PQL851985:PQZ852013 QAH851985:QAV852013 QKD851985:QKR852013 QTZ851985:QUN852013 RDV851985:REJ852013 RNR851985:ROF852013 RXN851985:RYB852013 SHJ851985:SHX852013 SRF851985:SRT852013 TBB851985:TBP852013 TKX851985:TLL852013 TUT851985:TVH852013 UEP851985:UFD852013 UOL851985:UOZ852013 UYH851985:UYV852013 VID851985:VIR852013 VRZ851985:VSN852013 WBV851985:WCJ852013 WLR851985:WMF852013 WVN851985:WWB852013 F917521:T917549 JB917521:JP917549 SX917521:TL917549 ACT917521:ADH917549 AMP917521:AND917549 AWL917521:AWZ917549 BGH917521:BGV917549 BQD917521:BQR917549 BZZ917521:CAN917549 CJV917521:CKJ917549 CTR917521:CUF917549 DDN917521:DEB917549 DNJ917521:DNX917549 DXF917521:DXT917549 EHB917521:EHP917549 EQX917521:ERL917549 FAT917521:FBH917549 FKP917521:FLD917549 FUL917521:FUZ917549 GEH917521:GEV917549 GOD917521:GOR917549 GXZ917521:GYN917549 HHV917521:HIJ917549 HRR917521:HSF917549 IBN917521:ICB917549 ILJ917521:ILX917549 IVF917521:IVT917549 JFB917521:JFP917549 JOX917521:JPL917549 JYT917521:JZH917549 KIP917521:KJD917549 KSL917521:KSZ917549 LCH917521:LCV917549 LMD917521:LMR917549 LVZ917521:LWN917549 MFV917521:MGJ917549 MPR917521:MQF917549 MZN917521:NAB917549 NJJ917521:NJX917549 NTF917521:NTT917549 ODB917521:ODP917549 OMX917521:ONL917549 OWT917521:OXH917549 PGP917521:PHD917549 PQL917521:PQZ917549 QAH917521:QAV917549 QKD917521:QKR917549 QTZ917521:QUN917549 RDV917521:REJ917549 RNR917521:ROF917549 RXN917521:RYB917549 SHJ917521:SHX917549 SRF917521:SRT917549 TBB917521:TBP917549 TKX917521:TLL917549 TUT917521:TVH917549 UEP917521:UFD917549 UOL917521:UOZ917549 UYH917521:UYV917549 VID917521:VIR917549 VRZ917521:VSN917549 WBV917521:WCJ917549 WLR917521:WMF917549 WVN917521:WWB917549 F983057:T983085 JB983057:JP983085 SX983057:TL983085 ACT983057:ADH983085 AMP983057:AND983085 AWL983057:AWZ983085 BGH983057:BGV983085 BQD983057:BQR983085 BZZ983057:CAN983085 CJV983057:CKJ983085 CTR983057:CUF983085 DDN983057:DEB983085 DNJ983057:DNX983085 DXF983057:DXT983085 EHB983057:EHP983085 EQX983057:ERL983085 FAT983057:FBH983085 FKP983057:FLD983085 FUL983057:FUZ983085 GEH983057:GEV983085 GOD983057:GOR983085 GXZ983057:GYN983085 HHV983057:HIJ983085 HRR983057:HSF983085 IBN983057:ICB983085 ILJ983057:ILX983085 IVF983057:IVT983085 JFB983057:JFP983085 JOX983057:JPL983085 JYT983057:JZH983085 KIP983057:KJD983085 KSL983057:KSZ983085 LCH983057:LCV983085 LMD983057:LMR983085 LVZ983057:LWN983085 MFV983057:MGJ983085 MPR983057:MQF983085 MZN983057:NAB983085 NJJ983057:NJX983085 NTF983057:NTT983085 ODB983057:ODP983085 OMX983057:ONL983085 OWT983057:OXH983085 PGP983057:PHD983085 PQL983057:PQZ983085 QAH983057:QAV983085 QKD983057:QKR983085 QTZ983057:QUN983085 RDV983057:REJ983085 RNR983057:ROF983085 RXN983057:RYB983085 SHJ983057:SHX983085 SRF983057:SRT983085 TBB983057:TBP983085 TKX983057:TLL983085 TUT983057:TVH983085 UEP983057:UFD983085 UOL983057:UOZ983085 UYH983057:UYV983085 VID983057:VIR983085 VRZ983057:VSN983085 WBV983057:WCJ983085 WLR983057:WMF983085 JB9:JP45 WVN9:WWB45 WLR9:WMF45 WBV9:WCJ45 VRZ9:VSN45 VID9:VIR45 UYH9:UYV45 UOL9:UOZ45 UEP9:UFD45 TUT9:TVH45 TKX9:TLL45 TBB9:TBP45 SRF9:SRT45 SHJ9:SHX45 RXN9:RYB45 RNR9:ROF45 RDV9:REJ45 QTZ9:QUN45 QKD9:QKR45 QAH9:QAV45 PQL9:PQZ45 PGP9:PHD45 OWT9:OXH45 OMX9:ONL45 ODB9:ODP45 NTF9:NTT45 NJJ9:NJX45 MZN9:NAB45 MPR9:MQF45 MFV9:MGJ45 LVZ9:LWN45 LMD9:LMR45 LCH9:LCV45 KSL9:KSZ45 KIP9:KJD45 JYT9:JZH45 JOX9:JPL45 JFB9:JFP45 IVF9:IVT45 ILJ9:ILX45 IBN9:ICB45 HRR9:HSF45 HHV9:HIJ45 GXZ9:GYN45 GOD9:GOR45 GEH9:GEV45 FUL9:FUZ45 FKP9:FLD45 FAT9:FBH45 EQX9:ERL45 EHB9:EHP45 DXF9:DXT45 DNJ9:DNX45 DDN9:DEB45 CTR9:CUF45 CJV9:CKJ45 BZZ9:CAN45 BQD9:BQR45 BGH9:BGV45 AWL9:AWZ45 AMP9:AND45 ACT9:ADH45 SX9:TL45 H36:H40 I34:T40 F41:T45 F34:G40 F9:T33" xr:uid="{00000000-0002-0000-0100-000002000000}">
      <formula1>"O, "</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7"/>
  <sheetViews>
    <sheetView workbookViewId="0">
      <selection activeCell="B4" sqref="B4"/>
    </sheetView>
  </sheetViews>
  <sheetFormatPr defaultColWidth="9" defaultRowHeight="10.199999999999999"/>
  <cols>
    <col min="1" max="1" width="8.796875" style="72" customWidth="1"/>
    <col min="2" max="2" width="23" style="72" customWidth="1"/>
    <col min="3" max="3" width="24.8984375" style="72" bestFit="1" customWidth="1"/>
    <col min="4" max="5" width="37.3984375" style="72" customWidth="1"/>
    <col min="6" max="6" width="8.19921875" style="72" customWidth="1"/>
    <col min="7" max="7" width="13" style="72" customWidth="1"/>
    <col min="8" max="8" width="17.19921875" style="72" customWidth="1"/>
    <col min="9" max="16384" width="9" style="72"/>
  </cols>
  <sheetData>
    <row r="1" spans="1:8" ht="20.399999999999999">
      <c r="A1" s="143" t="s">
        <v>33</v>
      </c>
      <c r="B1" s="143"/>
      <c r="C1" s="143"/>
      <c r="D1" s="143"/>
      <c r="E1" s="143"/>
      <c r="F1" s="143"/>
      <c r="G1" s="143"/>
      <c r="H1" s="143"/>
    </row>
    <row r="2" spans="1:8" ht="13.2">
      <c r="A2" s="73"/>
      <c r="B2" s="73"/>
      <c r="C2" s="74"/>
      <c r="D2" s="75" t="str">
        <f>"Pass: "&amp;COUNTIF($F$6:$F$932,"Pass")</f>
        <v>Pass: 0</v>
      </c>
      <c r="E2" s="76" t="str">
        <f>"Untested: "&amp;COUNTIF($F$6:$F$932,"Untest")</f>
        <v>Untested: 12</v>
      </c>
      <c r="F2" s="73"/>
      <c r="G2" s="77"/>
      <c r="H2" s="77"/>
    </row>
    <row r="3" spans="1:8" ht="26.4">
      <c r="A3" s="78" t="s">
        <v>34</v>
      </c>
      <c r="B3" s="79"/>
      <c r="C3" s="80"/>
      <c r="D3" s="75" t="str">
        <f>"Fail: "&amp;COUNTIF($F$6:$F$932,"Fail")</f>
        <v>Fail: 0</v>
      </c>
      <c r="E3" s="76" t="str">
        <f>"N/A: "&amp;COUNTIF($F$6:$F$932,"N/A")</f>
        <v>N/A: 0</v>
      </c>
      <c r="F3" s="73"/>
      <c r="G3" s="77"/>
      <c r="H3" s="77"/>
    </row>
    <row r="4" spans="1:8" ht="13.2">
      <c r="A4" s="81" t="s">
        <v>35</v>
      </c>
      <c r="B4" s="166" t="s">
        <v>112</v>
      </c>
      <c r="C4" s="81"/>
      <c r="D4" s="82" t="str">
        <f>"Percent Complete: "&amp;ROUND((COUNTIF($F$7:$F$932,"Pass")*100)/((COUNTA($A$7:$A$932)*5)-COUNTIF($F$6:$F$942,"N/A")),2)&amp;"%"</f>
        <v>Percent Complete: 0%</v>
      </c>
      <c r="E4" s="83" t="str">
        <f>"Number of cases: "&amp;(COUNTA($A$6:$A$932))</f>
        <v>Number of cases: 12</v>
      </c>
      <c r="F4" s="73"/>
      <c r="G4" s="77"/>
      <c r="H4" s="77"/>
    </row>
    <row r="5" spans="1:8" ht="20.399999999999999">
      <c r="A5" s="84" t="s">
        <v>36</v>
      </c>
      <c r="B5" s="84" t="s">
        <v>37</v>
      </c>
      <c r="C5" s="84" t="s">
        <v>38</v>
      </c>
      <c r="D5" s="84" t="s">
        <v>39</v>
      </c>
      <c r="E5" s="84" t="s">
        <v>40</v>
      </c>
      <c r="F5" s="84" t="s">
        <v>27</v>
      </c>
      <c r="G5" s="84" t="s">
        <v>41</v>
      </c>
      <c r="H5" s="84" t="s">
        <v>42</v>
      </c>
    </row>
    <row r="6" spans="1:8" ht="96.6" customHeight="1">
      <c r="A6" s="165" t="s">
        <v>43</v>
      </c>
      <c r="B6" s="85"/>
      <c r="C6" s="86" t="s">
        <v>89</v>
      </c>
      <c r="D6" s="86" t="s">
        <v>90</v>
      </c>
      <c r="E6" s="86" t="s">
        <v>94</v>
      </c>
      <c r="F6" s="85" t="s">
        <v>44</v>
      </c>
      <c r="G6" s="88"/>
      <c r="H6" s="86"/>
    </row>
    <row r="7" spans="1:8" ht="96.6" customHeight="1">
      <c r="A7" s="165" t="s">
        <v>78</v>
      </c>
      <c r="B7" s="85"/>
      <c r="C7" s="86" t="s">
        <v>89</v>
      </c>
      <c r="D7" s="86" t="s">
        <v>91</v>
      </c>
      <c r="E7" s="86" t="s">
        <v>94</v>
      </c>
      <c r="F7" s="85" t="s">
        <v>44</v>
      </c>
      <c r="G7" s="87"/>
      <c r="H7" s="85"/>
    </row>
    <row r="8" spans="1:8" ht="96.6" customHeight="1">
      <c r="A8" s="165" t="s">
        <v>79</v>
      </c>
      <c r="B8" s="85"/>
      <c r="C8" s="86" t="s">
        <v>89</v>
      </c>
      <c r="D8" s="86" t="s">
        <v>92</v>
      </c>
      <c r="E8" s="86" t="s">
        <v>95</v>
      </c>
      <c r="F8" s="85" t="s">
        <v>44</v>
      </c>
      <c r="G8" s="88"/>
      <c r="H8" s="85"/>
    </row>
    <row r="9" spans="1:8" ht="96.6" customHeight="1">
      <c r="A9" s="165" t="s">
        <v>80</v>
      </c>
      <c r="B9" s="86"/>
      <c r="C9" s="86" t="s">
        <v>89</v>
      </c>
      <c r="D9" s="86" t="s">
        <v>93</v>
      </c>
      <c r="E9" s="86" t="s">
        <v>96</v>
      </c>
      <c r="F9" s="85" t="s">
        <v>44</v>
      </c>
      <c r="G9" s="89"/>
      <c r="H9" s="85"/>
    </row>
    <row r="10" spans="1:8" ht="96.6" customHeight="1">
      <c r="A10" s="165" t="s">
        <v>81</v>
      </c>
      <c r="B10" s="86"/>
      <c r="C10" s="86" t="s">
        <v>89</v>
      </c>
      <c r="D10" s="86" t="s">
        <v>97</v>
      </c>
      <c r="E10" s="86" t="s">
        <v>98</v>
      </c>
      <c r="F10" s="85" t="s">
        <v>44</v>
      </c>
      <c r="G10" s="89"/>
      <c r="H10" s="85"/>
    </row>
    <row r="11" spans="1:8" ht="96.6" customHeight="1">
      <c r="A11" s="165" t="s">
        <v>82</v>
      </c>
      <c r="C11" s="86" t="s">
        <v>89</v>
      </c>
      <c r="D11" s="86" t="s">
        <v>99</v>
      </c>
      <c r="E11" s="86" t="s">
        <v>100</v>
      </c>
      <c r="F11" s="85" t="s">
        <v>44</v>
      </c>
    </row>
    <row r="12" spans="1:8" ht="96.6" customHeight="1">
      <c r="A12" s="165" t="s">
        <v>83</v>
      </c>
      <c r="B12" s="2"/>
      <c r="C12" s="86" t="s">
        <v>89</v>
      </c>
      <c r="D12" s="86" t="s">
        <v>101</v>
      </c>
      <c r="E12" s="86" t="s">
        <v>102</v>
      </c>
      <c r="F12" s="85" t="s">
        <v>44</v>
      </c>
    </row>
    <row r="13" spans="1:8" ht="96.6" customHeight="1">
      <c r="A13" s="165" t="s">
        <v>84</v>
      </c>
      <c r="C13" s="86" t="s">
        <v>89</v>
      </c>
      <c r="D13" s="86" t="s">
        <v>110</v>
      </c>
      <c r="E13" s="86" t="s">
        <v>103</v>
      </c>
      <c r="F13" s="85" t="s">
        <v>44</v>
      </c>
    </row>
    <row r="14" spans="1:8" ht="96.6" customHeight="1">
      <c r="A14" s="165" t="s">
        <v>85</v>
      </c>
      <c r="C14" s="86" t="s">
        <v>89</v>
      </c>
      <c r="D14" s="86" t="s">
        <v>111</v>
      </c>
      <c r="E14" s="86" t="s">
        <v>103</v>
      </c>
      <c r="F14" s="85" t="s">
        <v>44</v>
      </c>
    </row>
    <row r="15" spans="1:8" ht="96.6" customHeight="1">
      <c r="A15" s="165" t="s">
        <v>86</v>
      </c>
      <c r="C15" s="86" t="s">
        <v>89</v>
      </c>
      <c r="D15" s="86" t="s">
        <v>109</v>
      </c>
      <c r="E15" s="86" t="s">
        <v>104</v>
      </c>
      <c r="F15" s="85" t="s">
        <v>44</v>
      </c>
    </row>
    <row r="16" spans="1:8" ht="96.6" customHeight="1">
      <c r="A16" s="165" t="s">
        <v>87</v>
      </c>
      <c r="C16" s="86" t="s">
        <v>89</v>
      </c>
      <c r="D16" s="86" t="s">
        <v>108</v>
      </c>
      <c r="E16" s="86" t="s">
        <v>105</v>
      </c>
      <c r="F16" s="85" t="s">
        <v>44</v>
      </c>
    </row>
    <row r="17" spans="1:6" ht="96.6" customHeight="1">
      <c r="A17" s="165" t="s">
        <v>88</v>
      </c>
      <c r="C17" s="86" t="s">
        <v>89</v>
      </c>
      <c r="D17" s="86" t="s">
        <v>107</v>
      </c>
      <c r="E17" s="86" t="s">
        <v>106</v>
      </c>
      <c r="F17" s="85" t="s">
        <v>44</v>
      </c>
    </row>
  </sheetData>
  <mergeCells count="1">
    <mergeCell ref="A1:H1"/>
  </mergeCells>
  <phoneticPr fontId="29" type="noConversion"/>
  <dataValidations count="1">
    <dataValidation type="list" operator="equal" allowBlank="1" sqref="F6:F17" xr:uid="{00000000-0002-0000-0200-000000000000}">
      <formula1>"Pass,Fail,Untest,N/A"</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Q1</vt:lpstr>
      <vt:lpstr>Q2</vt:lpstr>
      <vt:lpstr>Q3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2025-07-30T07:21:03Z</dcterms:modified>
</cp:coreProperties>
</file>