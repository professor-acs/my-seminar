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8_{750CFC6D-F769-4090-AB91-4D56FBE1E8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Unit test-case" sheetId="1" r:id="rId1"/>
    <sheet name="Decision table and tc" sheetId="2" r:id="rId2"/>
    <sheet name="System test-case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L4" i="1" s="1"/>
  <c r="N7" i="1"/>
  <c r="M7" i="1"/>
  <c r="L7" i="1"/>
  <c r="C7" i="1"/>
  <c r="A7" i="1"/>
  <c r="F7" i="1" l="1"/>
  <c r="A7" i="3"/>
  <c r="A6" i="3"/>
  <c r="D3" i="3" s="1"/>
  <c r="A5" i="3"/>
  <c r="E2" i="3"/>
  <c r="D2" i="3"/>
  <c r="E1" i="3"/>
  <c r="D1" i="3"/>
  <c r="E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CB0B042-DEB3-42CB-AB96-B7E07B8F7DF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236694BC-C54C-46B6-B6D7-0F70FC113801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4" authorId="0" shapeId="0" xr:uid="{00000000-0006-0000-0200-000001000000}">
      <text>
        <r>
          <rPr>
            <sz val="11"/>
            <color theme="1"/>
            <rFont val="Arial"/>
            <family val="2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<sst xmlns="http://schemas.openxmlformats.org/spreadsheetml/2006/main" count="149" uniqueCount="98">
  <si>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</si>
  <si>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</si>
  <si>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</si>
  <si>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</si>
  <si>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</si>
  <si>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</si>
  <si>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</si>
  <si>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</si>
  <si>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</si>
  <si>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</si>
  <si>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</si>
  <si>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</si>
  <si>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</si>
  <si>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</si>
  <si>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</si>
  <si>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>O</t>
  </si>
  <si>
    <t>Confirm</t>
  </si>
  <si>
    <t>Return</t>
  </si>
  <si>
    <t>T</t>
  </si>
  <si>
    <t>F</t>
  </si>
  <si>
    <t>Log message</t>
  </si>
  <si>
    <t>Result</t>
  </si>
  <si>
    <t>Type(N : Normal, A : Abnormal, B : Boundary)</t>
  </si>
  <si>
    <t>A</t>
  </si>
  <si>
    <t>N</t>
  </si>
  <si>
    <t>Passed/Failed</t>
  </si>
  <si>
    <t>P</t>
  </si>
  <si>
    <t>Executed Date</t>
  </si>
  <si>
    <t>Defect ID</t>
  </si>
  <si>
    <t>Decision Table and Extend Decision Table</t>
  </si>
  <si>
    <t>High Level Test case template</t>
  </si>
  <si>
    <t>No</t>
  </si>
  <si>
    <t>TAG</t>
  </si>
  <si>
    <t>Test-case No</t>
  </si>
  <si>
    <t>Test case description</t>
  </si>
  <si>
    <t>Expected result</t>
  </si>
  <si>
    <t>Y</t>
  </si>
  <si>
    <t>E</t>
  </si>
  <si>
    <t>…</t>
  </si>
  <si>
    <t>Password hợp lệ</t>
  </si>
  <si>
    <t>Kết quả</t>
  </si>
  <si>
    <t>X</t>
  </si>
  <si>
    <t>OUTPUT</t>
  </si>
  <si>
    <t>Back to TestReport</t>
  </si>
  <si>
    <t>To Buglist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</si>
  <si>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</si>
  <si>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</si>
  <si>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</si>
  <si>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</si>
  <si>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</si>
  <si>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</si>
  <si>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</si>
  <si>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</si>
  <si>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Test environment</t>
  </si>
  <si>
    <t>Test date</t>
  </si>
  <si>
    <t>Note</t>
  </si>
  <si>
    <t>Verify ECH News &amp; Events landing</t>
  </si>
  <si>
    <t>Access www.familymedicalofficer.com</t>
  </si>
  <si>
    <t xml:space="preserve">1. Tap on ECH News &amp; Events
</t>
  </si>
  <si>
    <t>There are 2 button options
1. ECH News
2. ECH Events</t>
  </si>
  <si>
    <t>Pass</t>
  </si>
  <si>
    <t>Alternative flow</t>
  </si>
  <si>
    <t>Verify viewing News</t>
  </si>
  <si>
    <t xml:space="preserve">1. Tap on ECH News
2. Tap on icon of each news site (Facebook, YouTube, Twitter)
</t>
  </si>
  <si>
    <t>Expected that the user can login successfully and is navigated to the dashboard.</t>
  </si>
  <si>
    <t>User successfully logs in and dashboard is displayed.</t>
  </si>
  <si>
    <t>Basic flow</t>
  </si>
  <si>
    <t>Verify user logout functionality</t>
  </si>
  <si>
    <t>User is logged in to the application</t>
  </si>
  <si>
    <t>1. Click on user menu in the top-right corner
2. Select Logout option</t>
  </si>
  <si>
    <t>Expected that user is logged out and redirected to login screen.</t>
  </si>
  <si>
    <t>User is successfully logged out and login screen is displayed.</t>
  </si>
  <si>
    <t>Password</t>
  </si>
  <si>
    <t>Phone</t>
  </si>
  <si>
    <t>Username</t>
  </si>
  <si>
    <t>Kiểm thử điều kiện đầu vào đăng ký tài khoản</t>
  </si>
  <si>
    <t>UTCID03</t>
  </si>
  <si>
    <t>UTCID04</t>
  </si>
  <si>
    <t>UTCID05</t>
  </si>
  <si>
    <t xml:space="preserve">	Đúng quy tắc, chưa tồn tại</t>
  </si>
  <si>
    <t>Đã tồn tại</t>
  </si>
  <si>
    <t>Đúng quy tắc</t>
  </si>
  <si>
    <t>Sai quy tắc (không ký tự đặc biệt)</t>
  </si>
  <si>
    <t xml:space="preserve">	Sai quy tắc (không đủ 10 số)</t>
  </si>
  <si>
    <t xml:space="preserve">"Register success."	</t>
  </si>
  <si>
    <t>User name already exist.</t>
  </si>
  <si>
    <t>"Username is invalid."</t>
  </si>
  <si>
    <t>"Password is invalid."</t>
  </si>
  <si>
    <t>"Cellphone number is invalid."</t>
  </si>
  <si>
    <t>B</t>
  </si>
  <si>
    <t>Sai quy tắc</t>
  </si>
  <si>
    <t>Password is invalid.</t>
  </si>
  <si>
    <t>Username is invalid.</t>
  </si>
  <si>
    <t>Register success.</t>
  </si>
  <si>
    <t>SWT-FU</t>
  </si>
  <si>
    <t>PE-SWT</t>
  </si>
  <si>
    <t>Group 9</t>
  </si>
  <si>
    <t>Vo Minh Toan _ SE194279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</si>
</sst>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16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Arial"/>
      <family val="2"/>
      <scheme val="minor"/>
    </font>
    <font>
      <b/>
      <u/>
      <sz val="8"/>
      <color indexed="12"/>
      <name val="Tahoma"/>
      <family val="2"/>
    </font>
    <font>
      <b/>
      <sz val="8"/>
      <color rgb="FFFF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/>
  </cellStyleXfs>
  <cellXfs count="157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49" fontId="3" fillId="0" borderId="0" xfId="1" applyNumberFormat="1" applyFont="1"/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164" fontId="6" fillId="3" borderId="34" xfId="1" applyNumberFormat="1" applyFont="1" applyFill="1" applyBorder="1" applyAlignment="1">
      <alignment horizontal="center" vertical="center"/>
    </xf>
    <xf numFmtId="0" fontId="7" fillId="4" borderId="35" xfId="1" applyFont="1" applyFill="1" applyBorder="1" applyAlignment="1">
      <alignment horizontal="left"/>
    </xf>
    <xf numFmtId="0" fontId="8" fillId="4" borderId="35" xfId="1" applyFont="1" applyFill="1" applyBorder="1"/>
    <xf numFmtId="0" fontId="8" fillId="4" borderId="35" xfId="1" applyFont="1" applyFill="1" applyBorder="1" applyAlignment="1">
      <alignment horizontal="right"/>
    </xf>
    <xf numFmtId="0" fontId="7" fillId="4" borderId="35" xfId="1" applyFont="1" applyFill="1" applyBorder="1" applyAlignment="1">
      <alignment vertical="top" textRotation="180"/>
    </xf>
    <xf numFmtId="0" fontId="7" fillId="4" borderId="36" xfId="1" applyFont="1" applyFill="1" applyBorder="1" applyAlignment="1">
      <alignment vertical="top" textRotation="180"/>
    </xf>
    <xf numFmtId="0" fontId="4" fillId="0" borderId="0" xfId="1" applyFont="1"/>
    <xf numFmtId="0" fontId="7" fillId="4" borderId="37" xfId="1" applyFont="1" applyFill="1" applyBorder="1" applyAlignment="1">
      <alignment vertical="center"/>
    </xf>
    <xf numFmtId="0" fontId="4" fillId="5" borderId="38" xfId="1" applyFont="1" applyFill="1" applyBorder="1" applyAlignment="1">
      <alignment horizontal="left" vertical="top"/>
    </xf>
    <xf numFmtId="0" fontId="3" fillId="5" borderId="39" xfId="1" applyFont="1" applyFill="1" applyBorder="1" applyAlignment="1">
      <alignment horizontal="center" vertical="top"/>
    </xf>
    <xf numFmtId="0" fontId="3" fillId="5" borderId="40" xfId="1" applyFont="1" applyFill="1" applyBorder="1" applyAlignment="1">
      <alignment horizontal="right" vertical="top"/>
    </xf>
    <xf numFmtId="0" fontId="5" fillId="6" borderId="0" xfId="1" applyFont="1" applyFill="1" applyAlignment="1">
      <alignment horizontal="right"/>
    </xf>
    <xf numFmtId="0" fontId="9" fillId="0" borderId="41" xfId="1" applyFont="1" applyBorder="1" applyAlignment="1">
      <alignment horizontal="center"/>
    </xf>
    <xf numFmtId="0" fontId="9" fillId="0" borderId="42" xfId="1" applyFont="1" applyBorder="1" applyAlignment="1">
      <alignment horizontal="center"/>
    </xf>
    <xf numFmtId="0" fontId="7" fillId="4" borderId="43" xfId="1" applyFont="1" applyFill="1" applyBorder="1" applyAlignment="1">
      <alignment vertical="center"/>
    </xf>
    <xf numFmtId="0" fontId="4" fillId="5" borderId="14" xfId="1" applyFont="1" applyFill="1" applyBorder="1" applyAlignment="1">
      <alignment horizontal="left" vertical="top"/>
    </xf>
    <xf numFmtId="0" fontId="3" fillId="5" borderId="15" xfId="1" applyFont="1" applyFill="1" applyBorder="1" applyAlignment="1">
      <alignment horizontal="center" vertical="top"/>
    </xf>
    <xf numFmtId="0" fontId="3" fillId="5" borderId="16" xfId="1" applyFont="1" applyFill="1" applyBorder="1" applyAlignment="1">
      <alignment horizontal="right" vertical="top"/>
    </xf>
    <xf numFmtId="0" fontId="9" fillId="0" borderId="44" xfId="1" applyFont="1" applyBorder="1" applyAlignment="1">
      <alignment horizontal="center"/>
    </xf>
    <xf numFmtId="0" fontId="9" fillId="0" borderId="45" xfId="1" applyFont="1" applyBorder="1" applyAlignment="1">
      <alignment horizontal="center"/>
    </xf>
    <xf numFmtId="0" fontId="3" fillId="0" borderId="0" xfId="1" applyFont="1" applyAlignment="1">
      <alignment vertical="top"/>
    </xf>
    <xf numFmtId="0" fontId="3" fillId="6" borderId="0" xfId="1" applyFont="1" applyFill="1" applyAlignment="1">
      <alignment horizontal="right"/>
    </xf>
    <xf numFmtId="0" fontId="4" fillId="0" borderId="0" xfId="1" applyFont="1" applyAlignment="1">
      <alignment horizontal="center"/>
    </xf>
    <xf numFmtId="0" fontId="7" fillId="4" borderId="37" xfId="1" applyFont="1" applyFill="1" applyBorder="1" applyAlignment="1">
      <alignment vertical="top"/>
    </xf>
    <xf numFmtId="0" fontId="4" fillId="5" borderId="38" xfId="1" applyFont="1" applyFill="1" applyBorder="1"/>
    <xf numFmtId="0" fontId="4" fillId="5" borderId="39" xfId="1" applyFont="1" applyFill="1" applyBorder="1"/>
    <xf numFmtId="0" fontId="3" fillId="5" borderId="40" xfId="1" applyFont="1" applyFill="1" applyBorder="1" applyAlignment="1">
      <alignment horizontal="right"/>
    </xf>
    <xf numFmtId="0" fontId="3" fillId="6" borderId="41" xfId="1" applyFont="1" applyFill="1" applyBorder="1" applyAlignment="1">
      <alignment horizontal="left"/>
    </xf>
    <xf numFmtId="0" fontId="7" fillId="4" borderId="43" xfId="1" applyFont="1" applyFill="1" applyBorder="1" applyAlignment="1">
      <alignment vertical="top"/>
    </xf>
    <xf numFmtId="0" fontId="4" fillId="5" borderId="14" xfId="1" applyFont="1" applyFill="1" applyBorder="1"/>
    <xf numFmtId="0" fontId="3" fillId="5" borderId="15" xfId="1" applyFont="1" applyFill="1" applyBorder="1"/>
    <xf numFmtId="0" fontId="3" fillId="5" borderId="16" xfId="1" applyFont="1" applyFill="1" applyBorder="1" applyAlignment="1">
      <alignment horizontal="right"/>
    </xf>
    <xf numFmtId="0" fontId="3" fillId="6" borderId="44" xfId="1" applyFont="1" applyFill="1" applyBorder="1" applyAlignment="1">
      <alignment horizontal="left"/>
    </xf>
    <xf numFmtId="0" fontId="10" fillId="5" borderId="15" xfId="1" applyFont="1" applyFill="1" applyBorder="1"/>
    <xf numFmtId="0" fontId="3" fillId="6" borderId="44" xfId="1" applyFont="1" applyFill="1" applyBorder="1"/>
    <xf numFmtId="0" fontId="4" fillId="5" borderId="48" xfId="1" applyFont="1" applyFill="1" applyBorder="1"/>
    <xf numFmtId="0" fontId="3" fillId="5" borderId="49" xfId="1" applyFont="1" applyFill="1" applyBorder="1"/>
    <xf numFmtId="0" fontId="3" fillId="5" borderId="50" xfId="1" applyFont="1" applyFill="1" applyBorder="1" applyAlignment="1">
      <alignment horizontal="right"/>
    </xf>
    <xf numFmtId="0" fontId="3" fillId="6" borderId="51" xfId="1" applyFont="1" applyFill="1" applyBorder="1" applyAlignment="1">
      <alignment horizontal="left"/>
    </xf>
    <xf numFmtId="0" fontId="9" fillId="0" borderId="51" xfId="1" applyFont="1" applyBorder="1" applyAlignment="1">
      <alignment horizontal="center"/>
    </xf>
    <xf numFmtId="0" fontId="9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0" fontId="11" fillId="0" borderId="44" xfId="1" applyFont="1" applyBorder="1" applyAlignment="1">
      <alignment horizontal="left"/>
    </xf>
    <xf numFmtId="0" fontId="3" fillId="0" borderId="44" xfId="1" applyFont="1" applyBorder="1" applyAlignment="1">
      <alignment horizontal="center"/>
    </xf>
    <xf numFmtId="0" fontId="3" fillId="0" borderId="45" xfId="1" applyFont="1" applyBorder="1" applyAlignment="1">
      <alignment horizontal="center"/>
    </xf>
    <xf numFmtId="0" fontId="3" fillId="0" borderId="44" xfId="1" applyFont="1" applyBorder="1"/>
    <xf numFmtId="165" fontId="3" fillId="0" borderId="44" xfId="1" applyNumberFormat="1" applyFont="1" applyBorder="1" applyAlignment="1">
      <alignment vertical="top" textRotation="255"/>
    </xf>
    <xf numFmtId="165" fontId="3" fillId="0" borderId="45" xfId="1" applyNumberFormat="1" applyFont="1" applyBorder="1" applyAlignment="1">
      <alignment vertical="top" textRotation="255"/>
    </xf>
    <xf numFmtId="0" fontId="7" fillId="4" borderId="55" xfId="1" applyFont="1" applyFill="1" applyBorder="1" applyAlignment="1">
      <alignment vertical="top"/>
    </xf>
    <xf numFmtId="0" fontId="3" fillId="0" borderId="46" xfId="1" applyFont="1" applyBorder="1"/>
    <xf numFmtId="0" fontId="3" fillId="0" borderId="46" xfId="1" applyFont="1" applyBorder="1" applyAlignment="1">
      <alignment textRotation="255"/>
    </xf>
    <xf numFmtId="0" fontId="3" fillId="0" borderId="47" xfId="1" applyFont="1" applyBorder="1" applyAlignment="1">
      <alignment textRotation="255"/>
    </xf>
    <xf numFmtId="0" fontId="7" fillId="0" borderId="0" xfId="1" applyFont="1" applyAlignment="1">
      <alignment vertical="top"/>
    </xf>
    <xf numFmtId="0" fontId="0" fillId="0" borderId="44" xfId="0" applyBorder="1"/>
    <xf numFmtId="0" fontId="1" fillId="7" borderId="44" xfId="0" applyFont="1" applyFill="1" applyBorder="1"/>
    <xf numFmtId="0" fontId="1" fillId="8" borderId="44" xfId="0" applyFont="1" applyFill="1" applyBorder="1"/>
    <xf numFmtId="0" fontId="0" fillId="8" borderId="44" xfId="0" applyFill="1" applyBorder="1"/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14" fillId="9" borderId="56" xfId="3" applyFont="1" applyFill="1" applyBorder="1" applyAlignment="1">
      <alignment horizontal="left" vertical="top" wrapText="1"/>
    </xf>
    <xf numFmtId="0" fontId="3" fillId="9" borderId="56" xfId="0" applyFont="1" applyFill="1" applyBorder="1" applyAlignment="1">
      <alignment horizontal="left" vertical="top" wrapText="1"/>
    </xf>
    <xf numFmtId="0" fontId="3" fillId="9" borderId="56" xfId="0" applyFont="1" applyFill="1" applyBorder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0" borderId="0" xfId="0" applyFont="1"/>
    <xf numFmtId="0" fontId="4" fillId="9" borderId="56" xfId="2" applyFont="1" applyFill="1" applyBorder="1" applyAlignment="1">
      <alignment horizontal="left" vertical="top" wrapText="1"/>
    </xf>
    <xf numFmtId="0" fontId="3" fillId="9" borderId="56" xfId="2" applyFont="1" applyFill="1" applyBorder="1" applyAlignment="1">
      <alignment horizontal="left" vertical="top" wrapText="1"/>
    </xf>
    <xf numFmtId="2" fontId="3" fillId="9" borderId="56" xfId="0" applyNumberFormat="1" applyFont="1" applyFill="1" applyBorder="1" applyAlignment="1">
      <alignment vertical="top" wrapText="1"/>
    </xf>
    <xf numFmtId="2" fontId="3" fillId="9" borderId="0" xfId="0" applyNumberFormat="1" applyFont="1" applyFill="1" applyAlignment="1">
      <alignment vertical="top" wrapText="1"/>
    </xf>
    <xf numFmtId="0" fontId="7" fillId="3" borderId="56" xfId="2" applyFont="1" applyFill="1" applyBorder="1" applyAlignment="1">
      <alignment horizontal="center" vertical="center" wrapText="1"/>
    </xf>
    <xf numFmtId="0" fontId="15" fillId="10" borderId="56" xfId="2" applyFont="1" applyFill="1" applyBorder="1" applyAlignment="1">
      <alignment horizontal="center" vertical="center" wrapText="1"/>
    </xf>
    <xf numFmtId="0" fontId="3" fillId="11" borderId="56" xfId="2" applyFont="1" applyFill="1" applyBorder="1" applyAlignment="1">
      <alignment vertical="top" wrapText="1"/>
    </xf>
    <xf numFmtId="0" fontId="3" fillId="12" borderId="56" xfId="0" applyFont="1" applyFill="1" applyBorder="1" applyAlignment="1">
      <alignment vertical="top"/>
    </xf>
    <xf numFmtId="0" fontId="3" fillId="12" borderId="56" xfId="0" applyFont="1" applyFill="1" applyBorder="1" applyAlignment="1">
      <alignment vertical="top" wrapText="1"/>
    </xf>
    <xf numFmtId="16" fontId="3" fillId="12" borderId="56" xfId="0" applyNumberFormat="1" applyFont="1" applyFill="1" applyBorder="1" applyAlignment="1">
      <alignment vertical="top"/>
    </xf>
    <xf numFmtId="0" fontId="3" fillId="12" borderId="56" xfId="0" applyFont="1" applyFill="1" applyBorder="1" applyAlignment="1">
      <alignment horizontal="left" vertical="top"/>
    </xf>
    <xf numFmtId="0" fontId="3" fillId="12" borderId="56" xfId="0" applyFont="1" applyFill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3" fillId="11" borderId="56" xfId="2" applyFont="1" applyFill="1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16" fontId="3" fillId="12" borderId="56" xfId="0" applyNumberFormat="1" applyFont="1" applyFill="1" applyBorder="1" applyAlignment="1">
      <alignment horizontal="right" vertical="top"/>
    </xf>
    <xf numFmtId="16" fontId="3" fillId="12" borderId="56" xfId="0" applyNumberFormat="1" applyFont="1" applyFill="1" applyBorder="1" applyAlignment="1">
      <alignment horizontal="left" vertical="top"/>
    </xf>
    <xf numFmtId="0" fontId="3" fillId="0" borderId="0" xfId="1" applyFont="1" applyAlignment="1">
      <alignment horizontal="right"/>
    </xf>
    <xf numFmtId="0" fontId="3" fillId="0" borderId="53" xfId="1" applyFont="1" applyBorder="1" applyAlignment="1">
      <alignment horizontal="left"/>
    </xf>
    <xf numFmtId="0" fontId="3" fillId="2" borderId="31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5" borderId="14" xfId="1" applyFont="1" applyFill="1" applyBorder="1" applyAlignment="1">
      <alignment horizontal="left" vertical="top"/>
    </xf>
    <xf numFmtId="0" fontId="10" fillId="5" borderId="49" xfId="1" applyFont="1" applyFill="1" applyBorder="1"/>
    <xf numFmtId="0" fontId="3" fillId="6" borderId="51" xfId="1" applyFont="1" applyFill="1" applyBorder="1"/>
    <xf numFmtId="0" fontId="1" fillId="0" borderId="15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49" fontId="3" fillId="2" borderId="4" xfId="2" applyNumberFormat="1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30" xfId="1" applyFont="1" applyFill="1" applyBorder="1" applyAlignment="1">
      <alignment horizontal="center" vertical="center"/>
    </xf>
    <xf numFmtId="0" fontId="5" fillId="2" borderId="22" xfId="2" applyFont="1" applyFill="1" applyBorder="1" applyAlignment="1">
      <alignment horizontal="left" wrapText="1"/>
    </xf>
    <xf numFmtId="0" fontId="5" fillId="2" borderId="23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4" fillId="2" borderId="14" xfId="2" applyFont="1" applyFill="1" applyBorder="1" applyAlignment="1">
      <alignment horizontal="left" wrapText="1"/>
    </xf>
    <xf numFmtId="0" fontId="4" fillId="2" borderId="15" xfId="2" applyFont="1" applyFill="1" applyBorder="1" applyAlignment="1">
      <alignment horizontal="left" wrapText="1"/>
    </xf>
    <xf numFmtId="0" fontId="4" fillId="2" borderId="16" xfId="2" applyFont="1" applyFill="1" applyBorder="1" applyAlignment="1">
      <alignment horizontal="left" wrapText="1"/>
    </xf>
    <xf numFmtId="0" fontId="3" fillId="2" borderId="20" xfId="2" applyFont="1" applyFill="1" applyBorder="1" applyAlignment="1">
      <alignment horizontal="center" wrapText="1"/>
    </xf>
    <xf numFmtId="0" fontId="3" fillId="2" borderId="19" xfId="2" applyFont="1" applyFill="1" applyBorder="1" applyAlignment="1">
      <alignment horizontal="center" wrapText="1"/>
    </xf>
    <xf numFmtId="0" fontId="3" fillId="2" borderId="21" xfId="2" applyFont="1" applyFill="1" applyBorder="1" applyAlignment="1">
      <alignment horizontal="center" wrapText="1"/>
    </xf>
    <xf numFmtId="0" fontId="3" fillId="2" borderId="26" xfId="1" applyFont="1" applyFill="1" applyBorder="1" applyAlignment="1">
      <alignment horizontal="center" vertical="center"/>
    </xf>
    <xf numFmtId="0" fontId="3" fillId="2" borderId="27" xfId="1" applyFont="1" applyFill="1" applyBorder="1" applyAlignment="1">
      <alignment horizontal="center" vertical="center"/>
    </xf>
    <xf numFmtId="0" fontId="3" fillId="0" borderId="44" xfId="1" applyFont="1" applyBorder="1" applyAlignment="1">
      <alignment horizontal="left"/>
    </xf>
    <xf numFmtId="0" fontId="4" fillId="2" borderId="9" xfId="2" applyFont="1" applyFill="1" applyBorder="1" applyAlignment="1">
      <alignment horizontal="left" wrapText="1"/>
    </xf>
    <xf numFmtId="0" fontId="4" fillId="2" borderId="10" xfId="2" applyFont="1" applyFill="1" applyBorder="1" applyAlignment="1">
      <alignment horizontal="left" wrapText="1"/>
    </xf>
    <xf numFmtId="0" fontId="3" fillId="2" borderId="31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 wrapText="1"/>
    </xf>
    <xf numFmtId="0" fontId="3" fillId="0" borderId="53" xfId="1" applyFont="1" applyBorder="1" applyAlignment="1">
      <alignment horizontal="left"/>
    </xf>
    <xf numFmtId="0" fontId="3" fillId="0" borderId="46" xfId="1" applyFont="1" applyBorder="1" applyAlignment="1">
      <alignment horizontal="left" vertical="top"/>
    </xf>
    <xf numFmtId="0" fontId="3" fillId="0" borderId="0" xfId="1" applyFont="1" applyAlignment="1">
      <alignment horizontal="right"/>
    </xf>
    <xf numFmtId="0" fontId="4" fillId="2" borderId="6" xfId="2" applyFont="1" applyFill="1" applyBorder="1" applyAlignment="1">
      <alignment horizontal="left" wrapText="1"/>
    </xf>
    <xf numFmtId="0" fontId="4" fillId="2" borderId="7" xfId="2" applyFont="1" applyFill="1" applyBorder="1" applyAlignment="1">
      <alignment horizontal="left" wrapText="1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wrapText="1"/>
    </xf>
    <xf numFmtId="0" fontId="5" fillId="2" borderId="19" xfId="2" applyFont="1" applyFill="1" applyBorder="1" applyAlignment="1">
      <alignment horizontal="center" wrapText="1"/>
    </xf>
    <xf numFmtId="49" fontId="5" fillId="2" borderId="4" xfId="2" applyNumberFormat="1" applyFont="1" applyFill="1" applyBorder="1" applyAlignment="1">
      <alignment horizontal="left" wrapText="1"/>
    </xf>
    <xf numFmtId="0" fontId="5" fillId="2" borderId="3" xfId="2" applyFont="1" applyFill="1" applyBorder="1" applyAlignment="1">
      <alignment horizontal="left" wrapText="1"/>
    </xf>
    <xf numFmtId="0" fontId="5" fillId="2" borderId="5" xfId="2" applyFont="1" applyFill="1" applyBorder="1" applyAlignment="1">
      <alignment horizontal="left" wrapText="1"/>
    </xf>
    <xf numFmtId="0" fontId="4" fillId="2" borderId="2" xfId="2" applyFont="1" applyFill="1" applyBorder="1" applyAlignment="1">
      <alignment horizontal="left" wrapText="1"/>
    </xf>
    <xf numFmtId="0" fontId="4" fillId="2" borderId="3" xfId="2" applyFont="1" applyFill="1" applyBorder="1" applyAlignment="1">
      <alignment horizontal="left" wrapText="1"/>
    </xf>
    <xf numFmtId="0" fontId="3" fillId="0" borderId="44" xfId="1" applyFont="1" applyBorder="1" applyAlignment="1">
      <alignment horizontal="left" vertical="top"/>
    </xf>
    <xf numFmtId="0" fontId="5" fillId="2" borderId="11" xfId="2" applyFont="1" applyFill="1" applyBorder="1" applyAlignment="1">
      <alignment horizontal="left" wrapText="1"/>
    </xf>
    <xf numFmtId="0" fontId="5" fillId="2" borderId="13" xfId="2" applyFont="1" applyFill="1" applyBorder="1" applyAlignment="1">
      <alignment horizontal="left" wrapText="1"/>
    </xf>
    <xf numFmtId="0" fontId="1" fillId="7" borderId="44" xfId="0" applyFont="1" applyFill="1" applyBorder="1" applyAlignment="1">
      <alignment horizontal="center" vertical="center"/>
    </xf>
    <xf numFmtId="0" fontId="0" fillId="0" borderId="41" xfId="0" applyBorder="1"/>
    <xf numFmtId="0" fontId="1" fillId="7" borderId="4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0" borderId="0" xfId="0" applyFont="1" applyAlignment="1">
      <alignment horizontal="center"/>
    </xf>
    <xf numFmtId="0" fontId="0" fillId="0" borderId="0" xfId="0"/>
    <xf numFmtId="0" fontId="1" fillId="7" borderId="44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left" vertical="top" wrapText="1"/>
    </xf>
    <xf numFmtId="0" fontId="0" fillId="0" borderId="58" xfId="0" applyBorder="1"/>
    <xf numFmtId="0" fontId="0" fillId="0" borderId="59" xfId="0" applyBorder="1"/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edu-my.sharepoint.com/personal/thangpd10_fe_edu_vn/Documents/Training%20Material/Courses/SWT301%20Software%20Testing/Templates/Template_Unit%20Test%20C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leline"/>
      <sheetName val="Cover"/>
      <sheetName val="FunctionList"/>
      <sheetName val="Test Report"/>
      <sheetName val="Function1"/>
      <sheetName val="Function2"/>
      <sheetName val="Function3"/>
      <sheetName val="Example"/>
    </sheetNames>
    <sheetDataSet>
      <sheetData sheetId="0" refreshError="1"/>
      <sheetData sheetId="1" refreshError="1"/>
      <sheetData sheetId="2" refreshError="1">
        <row r="6">
          <cell r="E6">
            <v>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opLeftCell="A19" workbookViewId="0">
      <selection activeCell="Y12" sqref="Y12"/>
    </sheetView>
  </sheetViews>
  <sheetFormatPr defaultColWidth="9" defaultRowHeight="10.199999999999999"/>
  <cols>
    <col min="1" max="1" width="8.19921875" style="3" customWidth="1"/>
    <col min="2" max="2" width="13.296875" style="9" customWidth="1"/>
    <col min="3" max="3" width="10.69921875" style="3" customWidth="1"/>
    <col min="4" max="4" width="11.296875" style="92" customWidth="1"/>
    <col min="5" max="5" width="1.69921875" style="3" hidden="1" customWidth="1"/>
    <col min="6" max="7" width="2.796875" style="3" bestFit="1" customWidth="1"/>
    <col min="8" max="8" width="2.796875" style="3" customWidth="1"/>
    <col min="9" max="10" width="2.796875" style="3" bestFit="1" customWidth="1"/>
    <col min="11" max="19" width="2.796875" style="3" customWidth="1"/>
    <col min="20" max="20" width="2.796875" style="3" bestFit="1" customWidth="1"/>
    <col min="21" max="21" width="2.796875" style="3" customWidth="1"/>
    <col min="22" max="256" width="9" style="3"/>
    <col min="257" max="257" width="8.19921875" style="3" customWidth="1"/>
    <col min="258" max="258" width="13.296875" style="3" customWidth="1"/>
    <col min="259" max="259" width="10.69921875" style="3" customWidth="1"/>
    <col min="260" max="260" width="11.296875" style="3" customWidth="1"/>
    <col min="261" max="261" width="0" style="3" hidden="1" customWidth="1"/>
    <col min="262" max="263" width="2.796875" style="3" bestFit="1" customWidth="1"/>
    <col min="264" max="264" width="2.796875" style="3" customWidth="1"/>
    <col min="265" max="266" width="2.796875" style="3" bestFit="1" customWidth="1"/>
    <col min="267" max="275" width="2.796875" style="3" customWidth="1"/>
    <col min="276" max="276" width="2.796875" style="3" bestFit="1" customWidth="1"/>
    <col min="277" max="277" width="2.796875" style="3" customWidth="1"/>
    <col min="278" max="512" width="9" style="3"/>
    <col min="513" max="513" width="8.19921875" style="3" customWidth="1"/>
    <col min="514" max="514" width="13.296875" style="3" customWidth="1"/>
    <col min="515" max="515" width="10.69921875" style="3" customWidth="1"/>
    <col min="516" max="516" width="11.296875" style="3" customWidth="1"/>
    <col min="517" max="517" width="0" style="3" hidden="1" customWidth="1"/>
    <col min="518" max="519" width="2.796875" style="3" bestFit="1" customWidth="1"/>
    <col min="520" max="520" width="2.796875" style="3" customWidth="1"/>
    <col min="521" max="522" width="2.796875" style="3" bestFit="1" customWidth="1"/>
    <col min="523" max="531" width="2.796875" style="3" customWidth="1"/>
    <col min="532" max="532" width="2.796875" style="3" bestFit="1" customWidth="1"/>
    <col min="533" max="533" width="2.796875" style="3" customWidth="1"/>
    <col min="534" max="768" width="9" style="3"/>
    <col min="769" max="769" width="8.19921875" style="3" customWidth="1"/>
    <col min="770" max="770" width="13.296875" style="3" customWidth="1"/>
    <col min="771" max="771" width="10.69921875" style="3" customWidth="1"/>
    <col min="772" max="772" width="11.296875" style="3" customWidth="1"/>
    <col min="773" max="773" width="0" style="3" hidden="1" customWidth="1"/>
    <col min="774" max="775" width="2.796875" style="3" bestFit="1" customWidth="1"/>
    <col min="776" max="776" width="2.796875" style="3" customWidth="1"/>
    <col min="777" max="778" width="2.796875" style="3" bestFit="1" customWidth="1"/>
    <col min="779" max="787" width="2.796875" style="3" customWidth="1"/>
    <col min="788" max="788" width="2.796875" style="3" bestFit="1" customWidth="1"/>
    <col min="789" max="789" width="2.796875" style="3" customWidth="1"/>
    <col min="790" max="1024" width="9" style="3"/>
    <col min="1025" max="1025" width="8.19921875" style="3" customWidth="1"/>
    <col min="1026" max="1026" width="13.296875" style="3" customWidth="1"/>
    <col min="1027" max="1027" width="10.69921875" style="3" customWidth="1"/>
    <col min="1028" max="1028" width="11.296875" style="3" customWidth="1"/>
    <col min="1029" max="1029" width="0" style="3" hidden="1" customWidth="1"/>
    <col min="1030" max="1031" width="2.796875" style="3" bestFit="1" customWidth="1"/>
    <col min="1032" max="1032" width="2.796875" style="3" customWidth="1"/>
    <col min="1033" max="1034" width="2.796875" style="3" bestFit="1" customWidth="1"/>
    <col min="1035" max="1043" width="2.796875" style="3" customWidth="1"/>
    <col min="1044" max="1044" width="2.796875" style="3" bestFit="1" customWidth="1"/>
    <col min="1045" max="1045" width="2.796875" style="3" customWidth="1"/>
    <col min="1046" max="1280" width="9" style="3"/>
    <col min="1281" max="1281" width="8.19921875" style="3" customWidth="1"/>
    <col min="1282" max="1282" width="13.296875" style="3" customWidth="1"/>
    <col min="1283" max="1283" width="10.69921875" style="3" customWidth="1"/>
    <col min="1284" max="1284" width="11.296875" style="3" customWidth="1"/>
    <col min="1285" max="1285" width="0" style="3" hidden="1" customWidth="1"/>
    <col min="1286" max="1287" width="2.796875" style="3" bestFit="1" customWidth="1"/>
    <col min="1288" max="1288" width="2.796875" style="3" customWidth="1"/>
    <col min="1289" max="1290" width="2.796875" style="3" bestFit="1" customWidth="1"/>
    <col min="1291" max="1299" width="2.796875" style="3" customWidth="1"/>
    <col min="1300" max="1300" width="2.796875" style="3" bestFit="1" customWidth="1"/>
    <col min="1301" max="1301" width="2.796875" style="3" customWidth="1"/>
    <col min="1302" max="1536" width="9" style="3"/>
    <col min="1537" max="1537" width="8.19921875" style="3" customWidth="1"/>
    <col min="1538" max="1538" width="13.296875" style="3" customWidth="1"/>
    <col min="1539" max="1539" width="10.69921875" style="3" customWidth="1"/>
    <col min="1540" max="1540" width="11.296875" style="3" customWidth="1"/>
    <col min="1541" max="1541" width="0" style="3" hidden="1" customWidth="1"/>
    <col min="1542" max="1543" width="2.796875" style="3" bestFit="1" customWidth="1"/>
    <col min="1544" max="1544" width="2.796875" style="3" customWidth="1"/>
    <col min="1545" max="1546" width="2.796875" style="3" bestFit="1" customWidth="1"/>
    <col min="1547" max="1555" width="2.796875" style="3" customWidth="1"/>
    <col min="1556" max="1556" width="2.796875" style="3" bestFit="1" customWidth="1"/>
    <col min="1557" max="1557" width="2.796875" style="3" customWidth="1"/>
    <col min="1558" max="1792" width="9" style="3"/>
    <col min="1793" max="1793" width="8.19921875" style="3" customWidth="1"/>
    <col min="1794" max="1794" width="13.296875" style="3" customWidth="1"/>
    <col min="1795" max="1795" width="10.69921875" style="3" customWidth="1"/>
    <col min="1796" max="1796" width="11.296875" style="3" customWidth="1"/>
    <col min="1797" max="1797" width="0" style="3" hidden="1" customWidth="1"/>
    <col min="1798" max="1799" width="2.796875" style="3" bestFit="1" customWidth="1"/>
    <col min="1800" max="1800" width="2.796875" style="3" customWidth="1"/>
    <col min="1801" max="1802" width="2.796875" style="3" bestFit="1" customWidth="1"/>
    <col min="1803" max="1811" width="2.796875" style="3" customWidth="1"/>
    <col min="1812" max="1812" width="2.796875" style="3" bestFit="1" customWidth="1"/>
    <col min="1813" max="1813" width="2.796875" style="3" customWidth="1"/>
    <col min="1814" max="2048" width="9" style="3"/>
    <col min="2049" max="2049" width="8.19921875" style="3" customWidth="1"/>
    <col min="2050" max="2050" width="13.296875" style="3" customWidth="1"/>
    <col min="2051" max="2051" width="10.69921875" style="3" customWidth="1"/>
    <col min="2052" max="2052" width="11.296875" style="3" customWidth="1"/>
    <col min="2053" max="2053" width="0" style="3" hidden="1" customWidth="1"/>
    <col min="2054" max="2055" width="2.796875" style="3" bestFit="1" customWidth="1"/>
    <col min="2056" max="2056" width="2.796875" style="3" customWidth="1"/>
    <col min="2057" max="2058" width="2.796875" style="3" bestFit="1" customWidth="1"/>
    <col min="2059" max="2067" width="2.796875" style="3" customWidth="1"/>
    <col min="2068" max="2068" width="2.796875" style="3" bestFit="1" customWidth="1"/>
    <col min="2069" max="2069" width="2.796875" style="3" customWidth="1"/>
    <col min="2070" max="2304" width="9" style="3"/>
    <col min="2305" max="2305" width="8.19921875" style="3" customWidth="1"/>
    <col min="2306" max="2306" width="13.296875" style="3" customWidth="1"/>
    <col min="2307" max="2307" width="10.69921875" style="3" customWidth="1"/>
    <col min="2308" max="2308" width="11.296875" style="3" customWidth="1"/>
    <col min="2309" max="2309" width="0" style="3" hidden="1" customWidth="1"/>
    <col min="2310" max="2311" width="2.796875" style="3" bestFit="1" customWidth="1"/>
    <col min="2312" max="2312" width="2.796875" style="3" customWidth="1"/>
    <col min="2313" max="2314" width="2.796875" style="3" bestFit="1" customWidth="1"/>
    <col min="2315" max="2323" width="2.796875" style="3" customWidth="1"/>
    <col min="2324" max="2324" width="2.796875" style="3" bestFit="1" customWidth="1"/>
    <col min="2325" max="2325" width="2.796875" style="3" customWidth="1"/>
    <col min="2326" max="2560" width="9" style="3"/>
    <col min="2561" max="2561" width="8.19921875" style="3" customWidth="1"/>
    <col min="2562" max="2562" width="13.296875" style="3" customWidth="1"/>
    <col min="2563" max="2563" width="10.69921875" style="3" customWidth="1"/>
    <col min="2564" max="2564" width="11.296875" style="3" customWidth="1"/>
    <col min="2565" max="2565" width="0" style="3" hidden="1" customWidth="1"/>
    <col min="2566" max="2567" width="2.796875" style="3" bestFit="1" customWidth="1"/>
    <col min="2568" max="2568" width="2.796875" style="3" customWidth="1"/>
    <col min="2569" max="2570" width="2.796875" style="3" bestFit="1" customWidth="1"/>
    <col min="2571" max="2579" width="2.796875" style="3" customWidth="1"/>
    <col min="2580" max="2580" width="2.796875" style="3" bestFit="1" customWidth="1"/>
    <col min="2581" max="2581" width="2.796875" style="3" customWidth="1"/>
    <col min="2582" max="2816" width="9" style="3"/>
    <col min="2817" max="2817" width="8.19921875" style="3" customWidth="1"/>
    <col min="2818" max="2818" width="13.296875" style="3" customWidth="1"/>
    <col min="2819" max="2819" width="10.69921875" style="3" customWidth="1"/>
    <col min="2820" max="2820" width="11.296875" style="3" customWidth="1"/>
    <col min="2821" max="2821" width="0" style="3" hidden="1" customWidth="1"/>
    <col min="2822" max="2823" width="2.796875" style="3" bestFit="1" customWidth="1"/>
    <col min="2824" max="2824" width="2.796875" style="3" customWidth="1"/>
    <col min="2825" max="2826" width="2.796875" style="3" bestFit="1" customWidth="1"/>
    <col min="2827" max="2835" width="2.796875" style="3" customWidth="1"/>
    <col min="2836" max="2836" width="2.796875" style="3" bestFit="1" customWidth="1"/>
    <col min="2837" max="2837" width="2.796875" style="3" customWidth="1"/>
    <col min="2838" max="3072" width="9" style="3"/>
    <col min="3073" max="3073" width="8.19921875" style="3" customWidth="1"/>
    <col min="3074" max="3074" width="13.296875" style="3" customWidth="1"/>
    <col min="3075" max="3075" width="10.69921875" style="3" customWidth="1"/>
    <col min="3076" max="3076" width="11.296875" style="3" customWidth="1"/>
    <col min="3077" max="3077" width="0" style="3" hidden="1" customWidth="1"/>
    <col min="3078" max="3079" width="2.796875" style="3" bestFit="1" customWidth="1"/>
    <col min="3080" max="3080" width="2.796875" style="3" customWidth="1"/>
    <col min="3081" max="3082" width="2.796875" style="3" bestFit="1" customWidth="1"/>
    <col min="3083" max="3091" width="2.796875" style="3" customWidth="1"/>
    <col min="3092" max="3092" width="2.796875" style="3" bestFit="1" customWidth="1"/>
    <col min="3093" max="3093" width="2.796875" style="3" customWidth="1"/>
    <col min="3094" max="3328" width="9" style="3"/>
    <col min="3329" max="3329" width="8.19921875" style="3" customWidth="1"/>
    <col min="3330" max="3330" width="13.296875" style="3" customWidth="1"/>
    <col min="3331" max="3331" width="10.69921875" style="3" customWidth="1"/>
    <col min="3332" max="3332" width="11.296875" style="3" customWidth="1"/>
    <col min="3333" max="3333" width="0" style="3" hidden="1" customWidth="1"/>
    <col min="3334" max="3335" width="2.796875" style="3" bestFit="1" customWidth="1"/>
    <col min="3336" max="3336" width="2.796875" style="3" customWidth="1"/>
    <col min="3337" max="3338" width="2.796875" style="3" bestFit="1" customWidth="1"/>
    <col min="3339" max="3347" width="2.796875" style="3" customWidth="1"/>
    <col min="3348" max="3348" width="2.796875" style="3" bestFit="1" customWidth="1"/>
    <col min="3349" max="3349" width="2.796875" style="3" customWidth="1"/>
    <col min="3350" max="3584" width="9" style="3"/>
    <col min="3585" max="3585" width="8.19921875" style="3" customWidth="1"/>
    <col min="3586" max="3586" width="13.296875" style="3" customWidth="1"/>
    <col min="3587" max="3587" width="10.69921875" style="3" customWidth="1"/>
    <col min="3588" max="3588" width="11.296875" style="3" customWidth="1"/>
    <col min="3589" max="3589" width="0" style="3" hidden="1" customWidth="1"/>
    <col min="3590" max="3591" width="2.796875" style="3" bestFit="1" customWidth="1"/>
    <col min="3592" max="3592" width="2.796875" style="3" customWidth="1"/>
    <col min="3593" max="3594" width="2.796875" style="3" bestFit="1" customWidth="1"/>
    <col min="3595" max="3603" width="2.796875" style="3" customWidth="1"/>
    <col min="3604" max="3604" width="2.796875" style="3" bestFit="1" customWidth="1"/>
    <col min="3605" max="3605" width="2.796875" style="3" customWidth="1"/>
    <col min="3606" max="3840" width="9" style="3"/>
    <col min="3841" max="3841" width="8.19921875" style="3" customWidth="1"/>
    <col min="3842" max="3842" width="13.296875" style="3" customWidth="1"/>
    <col min="3843" max="3843" width="10.69921875" style="3" customWidth="1"/>
    <col min="3844" max="3844" width="11.296875" style="3" customWidth="1"/>
    <col min="3845" max="3845" width="0" style="3" hidden="1" customWidth="1"/>
    <col min="3846" max="3847" width="2.796875" style="3" bestFit="1" customWidth="1"/>
    <col min="3848" max="3848" width="2.796875" style="3" customWidth="1"/>
    <col min="3849" max="3850" width="2.796875" style="3" bestFit="1" customWidth="1"/>
    <col min="3851" max="3859" width="2.796875" style="3" customWidth="1"/>
    <col min="3860" max="3860" width="2.796875" style="3" bestFit="1" customWidth="1"/>
    <col min="3861" max="3861" width="2.796875" style="3" customWidth="1"/>
    <col min="3862" max="4096" width="9" style="3"/>
    <col min="4097" max="4097" width="8.19921875" style="3" customWidth="1"/>
    <col min="4098" max="4098" width="13.296875" style="3" customWidth="1"/>
    <col min="4099" max="4099" width="10.69921875" style="3" customWidth="1"/>
    <col min="4100" max="4100" width="11.296875" style="3" customWidth="1"/>
    <col min="4101" max="4101" width="0" style="3" hidden="1" customWidth="1"/>
    <col min="4102" max="4103" width="2.796875" style="3" bestFit="1" customWidth="1"/>
    <col min="4104" max="4104" width="2.796875" style="3" customWidth="1"/>
    <col min="4105" max="4106" width="2.796875" style="3" bestFit="1" customWidth="1"/>
    <col min="4107" max="4115" width="2.796875" style="3" customWidth="1"/>
    <col min="4116" max="4116" width="2.796875" style="3" bestFit="1" customWidth="1"/>
    <col min="4117" max="4117" width="2.796875" style="3" customWidth="1"/>
    <col min="4118" max="4352" width="9" style="3"/>
    <col min="4353" max="4353" width="8.19921875" style="3" customWidth="1"/>
    <col min="4354" max="4354" width="13.296875" style="3" customWidth="1"/>
    <col min="4355" max="4355" width="10.69921875" style="3" customWidth="1"/>
    <col min="4356" max="4356" width="11.296875" style="3" customWidth="1"/>
    <col min="4357" max="4357" width="0" style="3" hidden="1" customWidth="1"/>
    <col min="4358" max="4359" width="2.796875" style="3" bestFit="1" customWidth="1"/>
    <col min="4360" max="4360" width="2.796875" style="3" customWidth="1"/>
    <col min="4361" max="4362" width="2.796875" style="3" bestFit="1" customWidth="1"/>
    <col min="4363" max="4371" width="2.796875" style="3" customWidth="1"/>
    <col min="4372" max="4372" width="2.796875" style="3" bestFit="1" customWidth="1"/>
    <col min="4373" max="4373" width="2.796875" style="3" customWidth="1"/>
    <col min="4374" max="4608" width="9" style="3"/>
    <col min="4609" max="4609" width="8.19921875" style="3" customWidth="1"/>
    <col min="4610" max="4610" width="13.296875" style="3" customWidth="1"/>
    <col min="4611" max="4611" width="10.69921875" style="3" customWidth="1"/>
    <col min="4612" max="4612" width="11.296875" style="3" customWidth="1"/>
    <col min="4613" max="4613" width="0" style="3" hidden="1" customWidth="1"/>
    <col min="4614" max="4615" width="2.796875" style="3" bestFit="1" customWidth="1"/>
    <col min="4616" max="4616" width="2.796875" style="3" customWidth="1"/>
    <col min="4617" max="4618" width="2.796875" style="3" bestFit="1" customWidth="1"/>
    <col min="4619" max="4627" width="2.796875" style="3" customWidth="1"/>
    <col min="4628" max="4628" width="2.796875" style="3" bestFit="1" customWidth="1"/>
    <col min="4629" max="4629" width="2.796875" style="3" customWidth="1"/>
    <col min="4630" max="4864" width="9" style="3"/>
    <col min="4865" max="4865" width="8.19921875" style="3" customWidth="1"/>
    <col min="4866" max="4866" width="13.296875" style="3" customWidth="1"/>
    <col min="4867" max="4867" width="10.69921875" style="3" customWidth="1"/>
    <col min="4868" max="4868" width="11.296875" style="3" customWidth="1"/>
    <col min="4869" max="4869" width="0" style="3" hidden="1" customWidth="1"/>
    <col min="4870" max="4871" width="2.796875" style="3" bestFit="1" customWidth="1"/>
    <col min="4872" max="4872" width="2.796875" style="3" customWidth="1"/>
    <col min="4873" max="4874" width="2.796875" style="3" bestFit="1" customWidth="1"/>
    <col min="4875" max="4883" width="2.796875" style="3" customWidth="1"/>
    <col min="4884" max="4884" width="2.796875" style="3" bestFit="1" customWidth="1"/>
    <col min="4885" max="4885" width="2.796875" style="3" customWidth="1"/>
    <col min="4886" max="5120" width="9" style="3"/>
    <col min="5121" max="5121" width="8.19921875" style="3" customWidth="1"/>
    <col min="5122" max="5122" width="13.296875" style="3" customWidth="1"/>
    <col min="5123" max="5123" width="10.69921875" style="3" customWidth="1"/>
    <col min="5124" max="5124" width="11.296875" style="3" customWidth="1"/>
    <col min="5125" max="5125" width="0" style="3" hidden="1" customWidth="1"/>
    <col min="5126" max="5127" width="2.796875" style="3" bestFit="1" customWidth="1"/>
    <col min="5128" max="5128" width="2.796875" style="3" customWidth="1"/>
    <col min="5129" max="5130" width="2.796875" style="3" bestFit="1" customWidth="1"/>
    <col min="5131" max="5139" width="2.796875" style="3" customWidth="1"/>
    <col min="5140" max="5140" width="2.796875" style="3" bestFit="1" customWidth="1"/>
    <col min="5141" max="5141" width="2.796875" style="3" customWidth="1"/>
    <col min="5142" max="5376" width="9" style="3"/>
    <col min="5377" max="5377" width="8.19921875" style="3" customWidth="1"/>
    <col min="5378" max="5378" width="13.296875" style="3" customWidth="1"/>
    <col min="5379" max="5379" width="10.69921875" style="3" customWidth="1"/>
    <col min="5380" max="5380" width="11.296875" style="3" customWidth="1"/>
    <col min="5381" max="5381" width="0" style="3" hidden="1" customWidth="1"/>
    <col min="5382" max="5383" width="2.796875" style="3" bestFit="1" customWidth="1"/>
    <col min="5384" max="5384" width="2.796875" style="3" customWidth="1"/>
    <col min="5385" max="5386" width="2.796875" style="3" bestFit="1" customWidth="1"/>
    <col min="5387" max="5395" width="2.796875" style="3" customWidth="1"/>
    <col min="5396" max="5396" width="2.796875" style="3" bestFit="1" customWidth="1"/>
    <col min="5397" max="5397" width="2.796875" style="3" customWidth="1"/>
    <col min="5398" max="5632" width="9" style="3"/>
    <col min="5633" max="5633" width="8.19921875" style="3" customWidth="1"/>
    <col min="5634" max="5634" width="13.296875" style="3" customWidth="1"/>
    <col min="5635" max="5635" width="10.69921875" style="3" customWidth="1"/>
    <col min="5636" max="5636" width="11.296875" style="3" customWidth="1"/>
    <col min="5637" max="5637" width="0" style="3" hidden="1" customWidth="1"/>
    <col min="5638" max="5639" width="2.796875" style="3" bestFit="1" customWidth="1"/>
    <col min="5640" max="5640" width="2.796875" style="3" customWidth="1"/>
    <col min="5641" max="5642" width="2.796875" style="3" bestFit="1" customWidth="1"/>
    <col min="5643" max="5651" width="2.796875" style="3" customWidth="1"/>
    <col min="5652" max="5652" width="2.796875" style="3" bestFit="1" customWidth="1"/>
    <col min="5653" max="5653" width="2.796875" style="3" customWidth="1"/>
    <col min="5654" max="5888" width="9" style="3"/>
    <col min="5889" max="5889" width="8.19921875" style="3" customWidth="1"/>
    <col min="5890" max="5890" width="13.296875" style="3" customWidth="1"/>
    <col min="5891" max="5891" width="10.69921875" style="3" customWidth="1"/>
    <col min="5892" max="5892" width="11.296875" style="3" customWidth="1"/>
    <col min="5893" max="5893" width="0" style="3" hidden="1" customWidth="1"/>
    <col min="5894" max="5895" width="2.796875" style="3" bestFit="1" customWidth="1"/>
    <col min="5896" max="5896" width="2.796875" style="3" customWidth="1"/>
    <col min="5897" max="5898" width="2.796875" style="3" bestFit="1" customWidth="1"/>
    <col min="5899" max="5907" width="2.796875" style="3" customWidth="1"/>
    <col min="5908" max="5908" width="2.796875" style="3" bestFit="1" customWidth="1"/>
    <col min="5909" max="5909" width="2.796875" style="3" customWidth="1"/>
    <col min="5910" max="6144" width="9" style="3"/>
    <col min="6145" max="6145" width="8.19921875" style="3" customWidth="1"/>
    <col min="6146" max="6146" width="13.296875" style="3" customWidth="1"/>
    <col min="6147" max="6147" width="10.69921875" style="3" customWidth="1"/>
    <col min="6148" max="6148" width="11.296875" style="3" customWidth="1"/>
    <col min="6149" max="6149" width="0" style="3" hidden="1" customWidth="1"/>
    <col min="6150" max="6151" width="2.796875" style="3" bestFit="1" customWidth="1"/>
    <col min="6152" max="6152" width="2.796875" style="3" customWidth="1"/>
    <col min="6153" max="6154" width="2.796875" style="3" bestFit="1" customWidth="1"/>
    <col min="6155" max="6163" width="2.796875" style="3" customWidth="1"/>
    <col min="6164" max="6164" width="2.796875" style="3" bestFit="1" customWidth="1"/>
    <col min="6165" max="6165" width="2.796875" style="3" customWidth="1"/>
    <col min="6166" max="6400" width="9" style="3"/>
    <col min="6401" max="6401" width="8.19921875" style="3" customWidth="1"/>
    <col min="6402" max="6402" width="13.296875" style="3" customWidth="1"/>
    <col min="6403" max="6403" width="10.69921875" style="3" customWidth="1"/>
    <col min="6404" max="6404" width="11.296875" style="3" customWidth="1"/>
    <col min="6405" max="6405" width="0" style="3" hidden="1" customWidth="1"/>
    <col min="6406" max="6407" width="2.796875" style="3" bestFit="1" customWidth="1"/>
    <col min="6408" max="6408" width="2.796875" style="3" customWidth="1"/>
    <col min="6409" max="6410" width="2.796875" style="3" bestFit="1" customWidth="1"/>
    <col min="6411" max="6419" width="2.796875" style="3" customWidth="1"/>
    <col min="6420" max="6420" width="2.796875" style="3" bestFit="1" customWidth="1"/>
    <col min="6421" max="6421" width="2.796875" style="3" customWidth="1"/>
    <col min="6422" max="6656" width="9" style="3"/>
    <col min="6657" max="6657" width="8.19921875" style="3" customWidth="1"/>
    <col min="6658" max="6658" width="13.296875" style="3" customWidth="1"/>
    <col min="6659" max="6659" width="10.69921875" style="3" customWidth="1"/>
    <col min="6660" max="6660" width="11.296875" style="3" customWidth="1"/>
    <col min="6661" max="6661" width="0" style="3" hidden="1" customWidth="1"/>
    <col min="6662" max="6663" width="2.796875" style="3" bestFit="1" customWidth="1"/>
    <col min="6664" max="6664" width="2.796875" style="3" customWidth="1"/>
    <col min="6665" max="6666" width="2.796875" style="3" bestFit="1" customWidth="1"/>
    <col min="6667" max="6675" width="2.796875" style="3" customWidth="1"/>
    <col min="6676" max="6676" width="2.796875" style="3" bestFit="1" customWidth="1"/>
    <col min="6677" max="6677" width="2.796875" style="3" customWidth="1"/>
    <col min="6678" max="6912" width="9" style="3"/>
    <col min="6913" max="6913" width="8.19921875" style="3" customWidth="1"/>
    <col min="6914" max="6914" width="13.296875" style="3" customWidth="1"/>
    <col min="6915" max="6915" width="10.69921875" style="3" customWidth="1"/>
    <col min="6916" max="6916" width="11.296875" style="3" customWidth="1"/>
    <col min="6917" max="6917" width="0" style="3" hidden="1" customWidth="1"/>
    <col min="6918" max="6919" width="2.796875" style="3" bestFit="1" customWidth="1"/>
    <col min="6920" max="6920" width="2.796875" style="3" customWidth="1"/>
    <col min="6921" max="6922" width="2.796875" style="3" bestFit="1" customWidth="1"/>
    <col min="6923" max="6931" width="2.796875" style="3" customWidth="1"/>
    <col min="6932" max="6932" width="2.796875" style="3" bestFit="1" customWidth="1"/>
    <col min="6933" max="6933" width="2.796875" style="3" customWidth="1"/>
    <col min="6934" max="7168" width="9" style="3"/>
    <col min="7169" max="7169" width="8.19921875" style="3" customWidth="1"/>
    <col min="7170" max="7170" width="13.296875" style="3" customWidth="1"/>
    <col min="7171" max="7171" width="10.69921875" style="3" customWidth="1"/>
    <col min="7172" max="7172" width="11.296875" style="3" customWidth="1"/>
    <col min="7173" max="7173" width="0" style="3" hidden="1" customWidth="1"/>
    <col min="7174" max="7175" width="2.796875" style="3" bestFit="1" customWidth="1"/>
    <col min="7176" max="7176" width="2.796875" style="3" customWidth="1"/>
    <col min="7177" max="7178" width="2.796875" style="3" bestFit="1" customWidth="1"/>
    <col min="7179" max="7187" width="2.796875" style="3" customWidth="1"/>
    <col min="7188" max="7188" width="2.796875" style="3" bestFit="1" customWidth="1"/>
    <col min="7189" max="7189" width="2.796875" style="3" customWidth="1"/>
    <col min="7190" max="7424" width="9" style="3"/>
    <col min="7425" max="7425" width="8.19921875" style="3" customWidth="1"/>
    <col min="7426" max="7426" width="13.296875" style="3" customWidth="1"/>
    <col min="7427" max="7427" width="10.69921875" style="3" customWidth="1"/>
    <col min="7428" max="7428" width="11.296875" style="3" customWidth="1"/>
    <col min="7429" max="7429" width="0" style="3" hidden="1" customWidth="1"/>
    <col min="7430" max="7431" width="2.796875" style="3" bestFit="1" customWidth="1"/>
    <col min="7432" max="7432" width="2.796875" style="3" customWidth="1"/>
    <col min="7433" max="7434" width="2.796875" style="3" bestFit="1" customWidth="1"/>
    <col min="7435" max="7443" width="2.796875" style="3" customWidth="1"/>
    <col min="7444" max="7444" width="2.796875" style="3" bestFit="1" customWidth="1"/>
    <col min="7445" max="7445" width="2.796875" style="3" customWidth="1"/>
    <col min="7446" max="7680" width="9" style="3"/>
    <col min="7681" max="7681" width="8.19921875" style="3" customWidth="1"/>
    <col min="7682" max="7682" width="13.296875" style="3" customWidth="1"/>
    <col min="7683" max="7683" width="10.69921875" style="3" customWidth="1"/>
    <col min="7684" max="7684" width="11.296875" style="3" customWidth="1"/>
    <col min="7685" max="7685" width="0" style="3" hidden="1" customWidth="1"/>
    <col min="7686" max="7687" width="2.796875" style="3" bestFit="1" customWidth="1"/>
    <col min="7688" max="7688" width="2.796875" style="3" customWidth="1"/>
    <col min="7689" max="7690" width="2.796875" style="3" bestFit="1" customWidth="1"/>
    <col min="7691" max="7699" width="2.796875" style="3" customWidth="1"/>
    <col min="7700" max="7700" width="2.796875" style="3" bestFit="1" customWidth="1"/>
    <col min="7701" max="7701" width="2.796875" style="3" customWidth="1"/>
    <col min="7702" max="7936" width="9" style="3"/>
    <col min="7937" max="7937" width="8.19921875" style="3" customWidth="1"/>
    <col min="7938" max="7938" width="13.296875" style="3" customWidth="1"/>
    <col min="7939" max="7939" width="10.69921875" style="3" customWidth="1"/>
    <col min="7940" max="7940" width="11.296875" style="3" customWidth="1"/>
    <col min="7941" max="7941" width="0" style="3" hidden="1" customWidth="1"/>
    <col min="7942" max="7943" width="2.796875" style="3" bestFit="1" customWidth="1"/>
    <col min="7944" max="7944" width="2.796875" style="3" customWidth="1"/>
    <col min="7945" max="7946" width="2.796875" style="3" bestFit="1" customWidth="1"/>
    <col min="7947" max="7955" width="2.796875" style="3" customWidth="1"/>
    <col min="7956" max="7956" width="2.796875" style="3" bestFit="1" customWidth="1"/>
    <col min="7957" max="7957" width="2.796875" style="3" customWidth="1"/>
    <col min="7958" max="8192" width="9" style="3"/>
    <col min="8193" max="8193" width="8.19921875" style="3" customWidth="1"/>
    <col min="8194" max="8194" width="13.296875" style="3" customWidth="1"/>
    <col min="8195" max="8195" width="10.69921875" style="3" customWidth="1"/>
    <col min="8196" max="8196" width="11.296875" style="3" customWidth="1"/>
    <col min="8197" max="8197" width="0" style="3" hidden="1" customWidth="1"/>
    <col min="8198" max="8199" width="2.796875" style="3" bestFit="1" customWidth="1"/>
    <col min="8200" max="8200" width="2.796875" style="3" customWidth="1"/>
    <col min="8201" max="8202" width="2.796875" style="3" bestFit="1" customWidth="1"/>
    <col min="8203" max="8211" width="2.796875" style="3" customWidth="1"/>
    <col min="8212" max="8212" width="2.796875" style="3" bestFit="1" customWidth="1"/>
    <col min="8213" max="8213" width="2.796875" style="3" customWidth="1"/>
    <col min="8214" max="8448" width="9" style="3"/>
    <col min="8449" max="8449" width="8.19921875" style="3" customWidth="1"/>
    <col min="8450" max="8450" width="13.296875" style="3" customWidth="1"/>
    <col min="8451" max="8451" width="10.69921875" style="3" customWidth="1"/>
    <col min="8452" max="8452" width="11.296875" style="3" customWidth="1"/>
    <col min="8453" max="8453" width="0" style="3" hidden="1" customWidth="1"/>
    <col min="8454" max="8455" width="2.796875" style="3" bestFit="1" customWidth="1"/>
    <col min="8456" max="8456" width="2.796875" style="3" customWidth="1"/>
    <col min="8457" max="8458" width="2.796875" style="3" bestFit="1" customWidth="1"/>
    <col min="8459" max="8467" width="2.796875" style="3" customWidth="1"/>
    <col min="8468" max="8468" width="2.796875" style="3" bestFit="1" customWidth="1"/>
    <col min="8469" max="8469" width="2.796875" style="3" customWidth="1"/>
    <col min="8470" max="8704" width="9" style="3"/>
    <col min="8705" max="8705" width="8.19921875" style="3" customWidth="1"/>
    <col min="8706" max="8706" width="13.296875" style="3" customWidth="1"/>
    <col min="8707" max="8707" width="10.69921875" style="3" customWidth="1"/>
    <col min="8708" max="8708" width="11.296875" style="3" customWidth="1"/>
    <col min="8709" max="8709" width="0" style="3" hidden="1" customWidth="1"/>
    <col min="8710" max="8711" width="2.796875" style="3" bestFit="1" customWidth="1"/>
    <col min="8712" max="8712" width="2.796875" style="3" customWidth="1"/>
    <col min="8713" max="8714" width="2.796875" style="3" bestFit="1" customWidth="1"/>
    <col min="8715" max="8723" width="2.796875" style="3" customWidth="1"/>
    <col min="8724" max="8724" width="2.796875" style="3" bestFit="1" customWidth="1"/>
    <col min="8725" max="8725" width="2.796875" style="3" customWidth="1"/>
    <col min="8726" max="8960" width="9" style="3"/>
    <col min="8961" max="8961" width="8.19921875" style="3" customWidth="1"/>
    <col min="8962" max="8962" width="13.296875" style="3" customWidth="1"/>
    <col min="8963" max="8963" width="10.69921875" style="3" customWidth="1"/>
    <col min="8964" max="8964" width="11.296875" style="3" customWidth="1"/>
    <col min="8965" max="8965" width="0" style="3" hidden="1" customWidth="1"/>
    <col min="8966" max="8967" width="2.796875" style="3" bestFit="1" customWidth="1"/>
    <col min="8968" max="8968" width="2.796875" style="3" customWidth="1"/>
    <col min="8969" max="8970" width="2.796875" style="3" bestFit="1" customWidth="1"/>
    <col min="8971" max="8979" width="2.796875" style="3" customWidth="1"/>
    <col min="8980" max="8980" width="2.796875" style="3" bestFit="1" customWidth="1"/>
    <col min="8981" max="8981" width="2.796875" style="3" customWidth="1"/>
    <col min="8982" max="9216" width="9" style="3"/>
    <col min="9217" max="9217" width="8.19921875" style="3" customWidth="1"/>
    <col min="9218" max="9218" width="13.296875" style="3" customWidth="1"/>
    <col min="9219" max="9219" width="10.69921875" style="3" customWidth="1"/>
    <col min="9220" max="9220" width="11.296875" style="3" customWidth="1"/>
    <col min="9221" max="9221" width="0" style="3" hidden="1" customWidth="1"/>
    <col min="9222" max="9223" width="2.796875" style="3" bestFit="1" customWidth="1"/>
    <col min="9224" max="9224" width="2.796875" style="3" customWidth="1"/>
    <col min="9225" max="9226" width="2.796875" style="3" bestFit="1" customWidth="1"/>
    <col min="9227" max="9235" width="2.796875" style="3" customWidth="1"/>
    <col min="9236" max="9236" width="2.796875" style="3" bestFit="1" customWidth="1"/>
    <col min="9237" max="9237" width="2.796875" style="3" customWidth="1"/>
    <col min="9238" max="9472" width="9" style="3"/>
    <col min="9473" max="9473" width="8.19921875" style="3" customWidth="1"/>
    <col min="9474" max="9474" width="13.296875" style="3" customWidth="1"/>
    <col min="9475" max="9475" width="10.69921875" style="3" customWidth="1"/>
    <col min="9476" max="9476" width="11.296875" style="3" customWidth="1"/>
    <col min="9477" max="9477" width="0" style="3" hidden="1" customWidth="1"/>
    <col min="9478" max="9479" width="2.796875" style="3" bestFit="1" customWidth="1"/>
    <col min="9480" max="9480" width="2.796875" style="3" customWidth="1"/>
    <col min="9481" max="9482" width="2.796875" style="3" bestFit="1" customWidth="1"/>
    <col min="9483" max="9491" width="2.796875" style="3" customWidth="1"/>
    <col min="9492" max="9492" width="2.796875" style="3" bestFit="1" customWidth="1"/>
    <col min="9493" max="9493" width="2.796875" style="3" customWidth="1"/>
    <col min="9494" max="9728" width="9" style="3"/>
    <col min="9729" max="9729" width="8.19921875" style="3" customWidth="1"/>
    <col min="9730" max="9730" width="13.296875" style="3" customWidth="1"/>
    <col min="9731" max="9731" width="10.69921875" style="3" customWidth="1"/>
    <col min="9732" max="9732" width="11.296875" style="3" customWidth="1"/>
    <col min="9733" max="9733" width="0" style="3" hidden="1" customWidth="1"/>
    <col min="9734" max="9735" width="2.796875" style="3" bestFit="1" customWidth="1"/>
    <col min="9736" max="9736" width="2.796875" style="3" customWidth="1"/>
    <col min="9737" max="9738" width="2.796875" style="3" bestFit="1" customWidth="1"/>
    <col min="9739" max="9747" width="2.796875" style="3" customWidth="1"/>
    <col min="9748" max="9748" width="2.796875" style="3" bestFit="1" customWidth="1"/>
    <col min="9749" max="9749" width="2.796875" style="3" customWidth="1"/>
    <col min="9750" max="9984" width="9" style="3"/>
    <col min="9985" max="9985" width="8.19921875" style="3" customWidth="1"/>
    <col min="9986" max="9986" width="13.296875" style="3" customWidth="1"/>
    <col min="9987" max="9987" width="10.69921875" style="3" customWidth="1"/>
    <col min="9988" max="9988" width="11.296875" style="3" customWidth="1"/>
    <col min="9989" max="9989" width="0" style="3" hidden="1" customWidth="1"/>
    <col min="9990" max="9991" width="2.796875" style="3" bestFit="1" customWidth="1"/>
    <col min="9992" max="9992" width="2.796875" style="3" customWidth="1"/>
    <col min="9993" max="9994" width="2.796875" style="3" bestFit="1" customWidth="1"/>
    <col min="9995" max="10003" width="2.796875" style="3" customWidth="1"/>
    <col min="10004" max="10004" width="2.796875" style="3" bestFit="1" customWidth="1"/>
    <col min="10005" max="10005" width="2.796875" style="3" customWidth="1"/>
    <col min="10006" max="10240" width="9" style="3"/>
    <col min="10241" max="10241" width="8.19921875" style="3" customWidth="1"/>
    <col min="10242" max="10242" width="13.296875" style="3" customWidth="1"/>
    <col min="10243" max="10243" width="10.69921875" style="3" customWidth="1"/>
    <col min="10244" max="10244" width="11.296875" style="3" customWidth="1"/>
    <col min="10245" max="10245" width="0" style="3" hidden="1" customWidth="1"/>
    <col min="10246" max="10247" width="2.796875" style="3" bestFit="1" customWidth="1"/>
    <col min="10248" max="10248" width="2.796875" style="3" customWidth="1"/>
    <col min="10249" max="10250" width="2.796875" style="3" bestFit="1" customWidth="1"/>
    <col min="10251" max="10259" width="2.796875" style="3" customWidth="1"/>
    <col min="10260" max="10260" width="2.796875" style="3" bestFit="1" customWidth="1"/>
    <col min="10261" max="10261" width="2.796875" style="3" customWidth="1"/>
    <col min="10262" max="10496" width="9" style="3"/>
    <col min="10497" max="10497" width="8.19921875" style="3" customWidth="1"/>
    <col min="10498" max="10498" width="13.296875" style="3" customWidth="1"/>
    <col min="10499" max="10499" width="10.69921875" style="3" customWidth="1"/>
    <col min="10500" max="10500" width="11.296875" style="3" customWidth="1"/>
    <col min="10501" max="10501" width="0" style="3" hidden="1" customWidth="1"/>
    <col min="10502" max="10503" width="2.796875" style="3" bestFit="1" customWidth="1"/>
    <col min="10504" max="10504" width="2.796875" style="3" customWidth="1"/>
    <col min="10505" max="10506" width="2.796875" style="3" bestFit="1" customWidth="1"/>
    <col min="10507" max="10515" width="2.796875" style="3" customWidth="1"/>
    <col min="10516" max="10516" width="2.796875" style="3" bestFit="1" customWidth="1"/>
    <col min="10517" max="10517" width="2.796875" style="3" customWidth="1"/>
    <col min="10518" max="10752" width="9" style="3"/>
    <col min="10753" max="10753" width="8.19921875" style="3" customWidth="1"/>
    <col min="10754" max="10754" width="13.296875" style="3" customWidth="1"/>
    <col min="10755" max="10755" width="10.69921875" style="3" customWidth="1"/>
    <col min="10756" max="10756" width="11.296875" style="3" customWidth="1"/>
    <col min="10757" max="10757" width="0" style="3" hidden="1" customWidth="1"/>
    <col min="10758" max="10759" width="2.796875" style="3" bestFit="1" customWidth="1"/>
    <col min="10760" max="10760" width="2.796875" style="3" customWidth="1"/>
    <col min="10761" max="10762" width="2.796875" style="3" bestFit="1" customWidth="1"/>
    <col min="10763" max="10771" width="2.796875" style="3" customWidth="1"/>
    <col min="10772" max="10772" width="2.796875" style="3" bestFit="1" customWidth="1"/>
    <col min="10773" max="10773" width="2.796875" style="3" customWidth="1"/>
    <col min="10774" max="11008" width="9" style="3"/>
    <col min="11009" max="11009" width="8.19921875" style="3" customWidth="1"/>
    <col min="11010" max="11010" width="13.296875" style="3" customWidth="1"/>
    <col min="11011" max="11011" width="10.69921875" style="3" customWidth="1"/>
    <col min="11012" max="11012" width="11.296875" style="3" customWidth="1"/>
    <col min="11013" max="11013" width="0" style="3" hidden="1" customWidth="1"/>
    <col min="11014" max="11015" width="2.796875" style="3" bestFit="1" customWidth="1"/>
    <col min="11016" max="11016" width="2.796875" style="3" customWidth="1"/>
    <col min="11017" max="11018" width="2.796875" style="3" bestFit="1" customWidth="1"/>
    <col min="11019" max="11027" width="2.796875" style="3" customWidth="1"/>
    <col min="11028" max="11028" width="2.796875" style="3" bestFit="1" customWidth="1"/>
    <col min="11029" max="11029" width="2.796875" style="3" customWidth="1"/>
    <col min="11030" max="11264" width="9" style="3"/>
    <col min="11265" max="11265" width="8.19921875" style="3" customWidth="1"/>
    <col min="11266" max="11266" width="13.296875" style="3" customWidth="1"/>
    <col min="11267" max="11267" width="10.69921875" style="3" customWidth="1"/>
    <col min="11268" max="11268" width="11.296875" style="3" customWidth="1"/>
    <col min="11269" max="11269" width="0" style="3" hidden="1" customWidth="1"/>
    <col min="11270" max="11271" width="2.796875" style="3" bestFit="1" customWidth="1"/>
    <col min="11272" max="11272" width="2.796875" style="3" customWidth="1"/>
    <col min="11273" max="11274" width="2.796875" style="3" bestFit="1" customWidth="1"/>
    <col min="11275" max="11283" width="2.796875" style="3" customWidth="1"/>
    <col min="11284" max="11284" width="2.796875" style="3" bestFit="1" customWidth="1"/>
    <col min="11285" max="11285" width="2.796875" style="3" customWidth="1"/>
    <col min="11286" max="11520" width="9" style="3"/>
    <col min="11521" max="11521" width="8.19921875" style="3" customWidth="1"/>
    <col min="11522" max="11522" width="13.296875" style="3" customWidth="1"/>
    <col min="11523" max="11523" width="10.69921875" style="3" customWidth="1"/>
    <col min="11524" max="11524" width="11.296875" style="3" customWidth="1"/>
    <col min="11525" max="11525" width="0" style="3" hidden="1" customWidth="1"/>
    <col min="11526" max="11527" width="2.796875" style="3" bestFit="1" customWidth="1"/>
    <col min="11528" max="11528" width="2.796875" style="3" customWidth="1"/>
    <col min="11529" max="11530" width="2.796875" style="3" bestFit="1" customWidth="1"/>
    <col min="11531" max="11539" width="2.796875" style="3" customWidth="1"/>
    <col min="11540" max="11540" width="2.796875" style="3" bestFit="1" customWidth="1"/>
    <col min="11541" max="11541" width="2.796875" style="3" customWidth="1"/>
    <col min="11542" max="11776" width="9" style="3"/>
    <col min="11777" max="11777" width="8.19921875" style="3" customWidth="1"/>
    <col min="11778" max="11778" width="13.296875" style="3" customWidth="1"/>
    <col min="11779" max="11779" width="10.69921875" style="3" customWidth="1"/>
    <col min="11780" max="11780" width="11.296875" style="3" customWidth="1"/>
    <col min="11781" max="11781" width="0" style="3" hidden="1" customWidth="1"/>
    <col min="11782" max="11783" width="2.796875" style="3" bestFit="1" customWidth="1"/>
    <col min="11784" max="11784" width="2.796875" style="3" customWidth="1"/>
    <col min="11785" max="11786" width="2.796875" style="3" bestFit="1" customWidth="1"/>
    <col min="11787" max="11795" width="2.796875" style="3" customWidth="1"/>
    <col min="11796" max="11796" width="2.796875" style="3" bestFit="1" customWidth="1"/>
    <col min="11797" max="11797" width="2.796875" style="3" customWidth="1"/>
    <col min="11798" max="12032" width="9" style="3"/>
    <col min="12033" max="12033" width="8.19921875" style="3" customWidth="1"/>
    <col min="12034" max="12034" width="13.296875" style="3" customWidth="1"/>
    <col min="12035" max="12035" width="10.69921875" style="3" customWidth="1"/>
    <col min="12036" max="12036" width="11.296875" style="3" customWidth="1"/>
    <col min="12037" max="12037" width="0" style="3" hidden="1" customWidth="1"/>
    <col min="12038" max="12039" width="2.796875" style="3" bestFit="1" customWidth="1"/>
    <col min="12040" max="12040" width="2.796875" style="3" customWidth="1"/>
    <col min="12041" max="12042" width="2.796875" style="3" bestFit="1" customWidth="1"/>
    <col min="12043" max="12051" width="2.796875" style="3" customWidth="1"/>
    <col min="12052" max="12052" width="2.796875" style="3" bestFit="1" customWidth="1"/>
    <col min="12053" max="12053" width="2.796875" style="3" customWidth="1"/>
    <col min="12054" max="12288" width="9" style="3"/>
    <col min="12289" max="12289" width="8.19921875" style="3" customWidth="1"/>
    <col min="12290" max="12290" width="13.296875" style="3" customWidth="1"/>
    <col min="12291" max="12291" width="10.69921875" style="3" customWidth="1"/>
    <col min="12292" max="12292" width="11.296875" style="3" customWidth="1"/>
    <col min="12293" max="12293" width="0" style="3" hidden="1" customWidth="1"/>
    <col min="12294" max="12295" width="2.796875" style="3" bestFit="1" customWidth="1"/>
    <col min="12296" max="12296" width="2.796875" style="3" customWidth="1"/>
    <col min="12297" max="12298" width="2.796875" style="3" bestFit="1" customWidth="1"/>
    <col min="12299" max="12307" width="2.796875" style="3" customWidth="1"/>
    <col min="12308" max="12308" width="2.796875" style="3" bestFit="1" customWidth="1"/>
    <col min="12309" max="12309" width="2.796875" style="3" customWidth="1"/>
    <col min="12310" max="12544" width="9" style="3"/>
    <col min="12545" max="12545" width="8.19921875" style="3" customWidth="1"/>
    <col min="12546" max="12546" width="13.296875" style="3" customWidth="1"/>
    <col min="12547" max="12547" width="10.69921875" style="3" customWidth="1"/>
    <col min="12548" max="12548" width="11.296875" style="3" customWidth="1"/>
    <col min="12549" max="12549" width="0" style="3" hidden="1" customWidth="1"/>
    <col min="12550" max="12551" width="2.796875" style="3" bestFit="1" customWidth="1"/>
    <col min="12552" max="12552" width="2.796875" style="3" customWidth="1"/>
    <col min="12553" max="12554" width="2.796875" style="3" bestFit="1" customWidth="1"/>
    <col min="12555" max="12563" width="2.796875" style="3" customWidth="1"/>
    <col min="12564" max="12564" width="2.796875" style="3" bestFit="1" customWidth="1"/>
    <col min="12565" max="12565" width="2.796875" style="3" customWidth="1"/>
    <col min="12566" max="12800" width="9" style="3"/>
    <col min="12801" max="12801" width="8.19921875" style="3" customWidth="1"/>
    <col min="12802" max="12802" width="13.296875" style="3" customWidth="1"/>
    <col min="12803" max="12803" width="10.69921875" style="3" customWidth="1"/>
    <col min="12804" max="12804" width="11.296875" style="3" customWidth="1"/>
    <col min="12805" max="12805" width="0" style="3" hidden="1" customWidth="1"/>
    <col min="12806" max="12807" width="2.796875" style="3" bestFit="1" customWidth="1"/>
    <col min="12808" max="12808" width="2.796875" style="3" customWidth="1"/>
    <col min="12809" max="12810" width="2.796875" style="3" bestFit="1" customWidth="1"/>
    <col min="12811" max="12819" width="2.796875" style="3" customWidth="1"/>
    <col min="12820" max="12820" width="2.796875" style="3" bestFit="1" customWidth="1"/>
    <col min="12821" max="12821" width="2.796875" style="3" customWidth="1"/>
    <col min="12822" max="13056" width="9" style="3"/>
    <col min="13057" max="13057" width="8.19921875" style="3" customWidth="1"/>
    <col min="13058" max="13058" width="13.296875" style="3" customWidth="1"/>
    <col min="13059" max="13059" width="10.69921875" style="3" customWidth="1"/>
    <col min="13060" max="13060" width="11.296875" style="3" customWidth="1"/>
    <col min="13061" max="13061" width="0" style="3" hidden="1" customWidth="1"/>
    <col min="13062" max="13063" width="2.796875" style="3" bestFit="1" customWidth="1"/>
    <col min="13064" max="13064" width="2.796875" style="3" customWidth="1"/>
    <col min="13065" max="13066" width="2.796875" style="3" bestFit="1" customWidth="1"/>
    <col min="13067" max="13075" width="2.796875" style="3" customWidth="1"/>
    <col min="13076" max="13076" width="2.796875" style="3" bestFit="1" customWidth="1"/>
    <col min="13077" max="13077" width="2.796875" style="3" customWidth="1"/>
    <col min="13078" max="13312" width="9" style="3"/>
    <col min="13313" max="13313" width="8.19921875" style="3" customWidth="1"/>
    <col min="13314" max="13314" width="13.296875" style="3" customWidth="1"/>
    <col min="13315" max="13315" width="10.69921875" style="3" customWidth="1"/>
    <col min="13316" max="13316" width="11.296875" style="3" customWidth="1"/>
    <col min="13317" max="13317" width="0" style="3" hidden="1" customWidth="1"/>
    <col min="13318" max="13319" width="2.796875" style="3" bestFit="1" customWidth="1"/>
    <col min="13320" max="13320" width="2.796875" style="3" customWidth="1"/>
    <col min="13321" max="13322" width="2.796875" style="3" bestFit="1" customWidth="1"/>
    <col min="13323" max="13331" width="2.796875" style="3" customWidth="1"/>
    <col min="13332" max="13332" width="2.796875" style="3" bestFit="1" customWidth="1"/>
    <col min="13333" max="13333" width="2.796875" style="3" customWidth="1"/>
    <col min="13334" max="13568" width="9" style="3"/>
    <col min="13569" max="13569" width="8.19921875" style="3" customWidth="1"/>
    <col min="13570" max="13570" width="13.296875" style="3" customWidth="1"/>
    <col min="13571" max="13571" width="10.69921875" style="3" customWidth="1"/>
    <col min="13572" max="13572" width="11.296875" style="3" customWidth="1"/>
    <col min="13573" max="13573" width="0" style="3" hidden="1" customWidth="1"/>
    <col min="13574" max="13575" width="2.796875" style="3" bestFit="1" customWidth="1"/>
    <col min="13576" max="13576" width="2.796875" style="3" customWidth="1"/>
    <col min="13577" max="13578" width="2.796875" style="3" bestFit="1" customWidth="1"/>
    <col min="13579" max="13587" width="2.796875" style="3" customWidth="1"/>
    <col min="13588" max="13588" width="2.796875" style="3" bestFit="1" customWidth="1"/>
    <col min="13589" max="13589" width="2.796875" style="3" customWidth="1"/>
    <col min="13590" max="13824" width="9" style="3"/>
    <col min="13825" max="13825" width="8.19921875" style="3" customWidth="1"/>
    <col min="13826" max="13826" width="13.296875" style="3" customWidth="1"/>
    <col min="13827" max="13827" width="10.69921875" style="3" customWidth="1"/>
    <col min="13828" max="13828" width="11.296875" style="3" customWidth="1"/>
    <col min="13829" max="13829" width="0" style="3" hidden="1" customWidth="1"/>
    <col min="13830" max="13831" width="2.796875" style="3" bestFit="1" customWidth="1"/>
    <col min="13832" max="13832" width="2.796875" style="3" customWidth="1"/>
    <col min="13833" max="13834" width="2.796875" style="3" bestFit="1" customWidth="1"/>
    <col min="13835" max="13843" width="2.796875" style="3" customWidth="1"/>
    <col min="13844" max="13844" width="2.796875" style="3" bestFit="1" customWidth="1"/>
    <col min="13845" max="13845" width="2.796875" style="3" customWidth="1"/>
    <col min="13846" max="14080" width="9" style="3"/>
    <col min="14081" max="14081" width="8.19921875" style="3" customWidth="1"/>
    <col min="14082" max="14082" width="13.296875" style="3" customWidth="1"/>
    <col min="14083" max="14083" width="10.69921875" style="3" customWidth="1"/>
    <col min="14084" max="14084" width="11.296875" style="3" customWidth="1"/>
    <col min="14085" max="14085" width="0" style="3" hidden="1" customWidth="1"/>
    <col min="14086" max="14087" width="2.796875" style="3" bestFit="1" customWidth="1"/>
    <col min="14088" max="14088" width="2.796875" style="3" customWidth="1"/>
    <col min="14089" max="14090" width="2.796875" style="3" bestFit="1" customWidth="1"/>
    <col min="14091" max="14099" width="2.796875" style="3" customWidth="1"/>
    <col min="14100" max="14100" width="2.796875" style="3" bestFit="1" customWidth="1"/>
    <col min="14101" max="14101" width="2.796875" style="3" customWidth="1"/>
    <col min="14102" max="14336" width="9" style="3"/>
    <col min="14337" max="14337" width="8.19921875" style="3" customWidth="1"/>
    <col min="14338" max="14338" width="13.296875" style="3" customWidth="1"/>
    <col min="14339" max="14339" width="10.69921875" style="3" customWidth="1"/>
    <col min="14340" max="14340" width="11.296875" style="3" customWidth="1"/>
    <col min="14341" max="14341" width="0" style="3" hidden="1" customWidth="1"/>
    <col min="14342" max="14343" width="2.796875" style="3" bestFit="1" customWidth="1"/>
    <col min="14344" max="14344" width="2.796875" style="3" customWidth="1"/>
    <col min="14345" max="14346" width="2.796875" style="3" bestFit="1" customWidth="1"/>
    <col min="14347" max="14355" width="2.796875" style="3" customWidth="1"/>
    <col min="14356" max="14356" width="2.796875" style="3" bestFit="1" customWidth="1"/>
    <col min="14357" max="14357" width="2.796875" style="3" customWidth="1"/>
    <col min="14358" max="14592" width="9" style="3"/>
    <col min="14593" max="14593" width="8.19921875" style="3" customWidth="1"/>
    <col min="14594" max="14594" width="13.296875" style="3" customWidth="1"/>
    <col min="14595" max="14595" width="10.69921875" style="3" customWidth="1"/>
    <col min="14596" max="14596" width="11.296875" style="3" customWidth="1"/>
    <col min="14597" max="14597" width="0" style="3" hidden="1" customWidth="1"/>
    <col min="14598" max="14599" width="2.796875" style="3" bestFit="1" customWidth="1"/>
    <col min="14600" max="14600" width="2.796875" style="3" customWidth="1"/>
    <col min="14601" max="14602" width="2.796875" style="3" bestFit="1" customWidth="1"/>
    <col min="14603" max="14611" width="2.796875" style="3" customWidth="1"/>
    <col min="14612" max="14612" width="2.796875" style="3" bestFit="1" customWidth="1"/>
    <col min="14613" max="14613" width="2.796875" style="3" customWidth="1"/>
    <col min="14614" max="14848" width="9" style="3"/>
    <col min="14849" max="14849" width="8.19921875" style="3" customWidth="1"/>
    <col min="14850" max="14850" width="13.296875" style="3" customWidth="1"/>
    <col min="14851" max="14851" width="10.69921875" style="3" customWidth="1"/>
    <col min="14852" max="14852" width="11.296875" style="3" customWidth="1"/>
    <col min="14853" max="14853" width="0" style="3" hidden="1" customWidth="1"/>
    <col min="14854" max="14855" width="2.796875" style="3" bestFit="1" customWidth="1"/>
    <col min="14856" max="14856" width="2.796875" style="3" customWidth="1"/>
    <col min="14857" max="14858" width="2.796875" style="3" bestFit="1" customWidth="1"/>
    <col min="14859" max="14867" width="2.796875" style="3" customWidth="1"/>
    <col min="14868" max="14868" width="2.796875" style="3" bestFit="1" customWidth="1"/>
    <col min="14869" max="14869" width="2.796875" style="3" customWidth="1"/>
    <col min="14870" max="15104" width="9" style="3"/>
    <col min="15105" max="15105" width="8.19921875" style="3" customWidth="1"/>
    <col min="15106" max="15106" width="13.296875" style="3" customWidth="1"/>
    <col min="15107" max="15107" width="10.69921875" style="3" customWidth="1"/>
    <col min="15108" max="15108" width="11.296875" style="3" customWidth="1"/>
    <col min="15109" max="15109" width="0" style="3" hidden="1" customWidth="1"/>
    <col min="15110" max="15111" width="2.796875" style="3" bestFit="1" customWidth="1"/>
    <col min="15112" max="15112" width="2.796875" style="3" customWidth="1"/>
    <col min="15113" max="15114" width="2.796875" style="3" bestFit="1" customWidth="1"/>
    <col min="15115" max="15123" width="2.796875" style="3" customWidth="1"/>
    <col min="15124" max="15124" width="2.796875" style="3" bestFit="1" customWidth="1"/>
    <col min="15125" max="15125" width="2.796875" style="3" customWidth="1"/>
    <col min="15126" max="15360" width="9" style="3"/>
    <col min="15361" max="15361" width="8.19921875" style="3" customWidth="1"/>
    <col min="15362" max="15362" width="13.296875" style="3" customWidth="1"/>
    <col min="15363" max="15363" width="10.69921875" style="3" customWidth="1"/>
    <col min="15364" max="15364" width="11.296875" style="3" customWidth="1"/>
    <col min="15365" max="15365" width="0" style="3" hidden="1" customWidth="1"/>
    <col min="15366" max="15367" width="2.796875" style="3" bestFit="1" customWidth="1"/>
    <col min="15368" max="15368" width="2.796875" style="3" customWidth="1"/>
    <col min="15369" max="15370" width="2.796875" style="3" bestFit="1" customWidth="1"/>
    <col min="15371" max="15379" width="2.796875" style="3" customWidth="1"/>
    <col min="15380" max="15380" width="2.796875" style="3" bestFit="1" customWidth="1"/>
    <col min="15381" max="15381" width="2.796875" style="3" customWidth="1"/>
    <col min="15382" max="15616" width="9" style="3"/>
    <col min="15617" max="15617" width="8.19921875" style="3" customWidth="1"/>
    <col min="15618" max="15618" width="13.296875" style="3" customWidth="1"/>
    <col min="15619" max="15619" width="10.69921875" style="3" customWidth="1"/>
    <col min="15620" max="15620" width="11.296875" style="3" customWidth="1"/>
    <col min="15621" max="15621" width="0" style="3" hidden="1" customWidth="1"/>
    <col min="15622" max="15623" width="2.796875" style="3" bestFit="1" customWidth="1"/>
    <col min="15624" max="15624" width="2.796875" style="3" customWidth="1"/>
    <col min="15625" max="15626" width="2.796875" style="3" bestFit="1" customWidth="1"/>
    <col min="15627" max="15635" width="2.796875" style="3" customWidth="1"/>
    <col min="15636" max="15636" width="2.796875" style="3" bestFit="1" customWidth="1"/>
    <col min="15637" max="15637" width="2.796875" style="3" customWidth="1"/>
    <col min="15638" max="15872" width="9" style="3"/>
    <col min="15873" max="15873" width="8.19921875" style="3" customWidth="1"/>
    <col min="15874" max="15874" width="13.296875" style="3" customWidth="1"/>
    <col min="15875" max="15875" width="10.69921875" style="3" customWidth="1"/>
    <col min="15876" max="15876" width="11.296875" style="3" customWidth="1"/>
    <col min="15877" max="15877" width="0" style="3" hidden="1" customWidth="1"/>
    <col min="15878" max="15879" width="2.796875" style="3" bestFit="1" customWidth="1"/>
    <col min="15880" max="15880" width="2.796875" style="3" customWidth="1"/>
    <col min="15881" max="15882" width="2.796875" style="3" bestFit="1" customWidth="1"/>
    <col min="15883" max="15891" width="2.796875" style="3" customWidth="1"/>
    <col min="15892" max="15892" width="2.796875" style="3" bestFit="1" customWidth="1"/>
    <col min="15893" max="15893" width="2.796875" style="3" customWidth="1"/>
    <col min="15894" max="16128" width="9" style="3"/>
    <col min="16129" max="16129" width="8.19921875" style="3" customWidth="1"/>
    <col min="16130" max="16130" width="13.296875" style="3" customWidth="1"/>
    <col min="16131" max="16131" width="10.69921875" style="3" customWidth="1"/>
    <col min="16132" max="16132" width="11.296875" style="3" customWidth="1"/>
    <col min="16133" max="16133" width="0" style="3" hidden="1" customWidth="1"/>
    <col min="16134" max="16135" width="2.796875" style="3" bestFit="1" customWidth="1"/>
    <col min="16136" max="16136" width="2.796875" style="3" customWidth="1"/>
    <col min="16137" max="16138" width="2.796875" style="3" bestFit="1" customWidth="1"/>
    <col min="16139" max="16147" width="2.796875" style="3" customWidth="1"/>
    <col min="16148" max="16148" width="2.796875" style="3" bestFit="1" customWidth="1"/>
    <col min="16149" max="16149" width="2.7968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41" t="s">
        <v>0</v>
      </c>
      <c r="B2" s="142"/>
      <c r="C2" s="138" t="s">
        <v>94</v>
      </c>
      <c r="D2" s="139"/>
      <c r="E2" s="140"/>
      <c r="F2" s="132" t="s">
        <v>1</v>
      </c>
      <c r="G2" s="133"/>
      <c r="H2" s="133"/>
      <c r="I2" s="133"/>
      <c r="J2" s="133"/>
      <c r="K2" s="133"/>
      <c r="L2" s="101" t="s">
        <v>95</v>
      </c>
      <c r="M2" s="102"/>
      <c r="N2" s="102"/>
      <c r="O2" s="102"/>
      <c r="P2" s="102"/>
      <c r="Q2" s="102"/>
      <c r="R2" s="102"/>
      <c r="S2" s="102"/>
      <c r="T2" s="103"/>
      <c r="V2" s="4"/>
    </row>
    <row r="3" spans="1:22" ht="13.5" customHeight="1">
      <c r="A3" s="124" t="s">
        <v>2</v>
      </c>
      <c r="B3" s="125"/>
      <c r="C3" s="144" t="s">
        <v>96</v>
      </c>
      <c r="D3" s="114"/>
      <c r="E3" s="145"/>
      <c r="F3" s="115" t="s">
        <v>3</v>
      </c>
      <c r="G3" s="116"/>
      <c r="H3" s="116"/>
      <c r="I3" s="116"/>
      <c r="J3" s="116"/>
      <c r="K3" s="117"/>
      <c r="L3" s="114"/>
      <c r="M3" s="114"/>
      <c r="N3" s="114"/>
      <c r="O3" s="5"/>
      <c r="P3" s="5"/>
      <c r="Q3" s="5"/>
      <c r="R3" s="5"/>
      <c r="S3" s="5"/>
      <c r="T3" s="6"/>
    </row>
    <row r="4" spans="1:22" ht="13.5" customHeight="1">
      <c r="A4" s="124" t="s">
        <v>4</v>
      </c>
      <c r="B4" s="125"/>
      <c r="C4" s="136">
        <v>100</v>
      </c>
      <c r="D4" s="137"/>
      <c r="E4" s="7"/>
      <c r="F4" s="115" t="s">
        <v>5</v>
      </c>
      <c r="G4" s="116"/>
      <c r="H4" s="116"/>
      <c r="I4" s="116"/>
      <c r="J4" s="116"/>
      <c r="K4" s="117"/>
      <c r="L4" s="118">
        <f xml:space="preserve"> IF([1]FunctionList!E6&lt;&gt;"N/A",SUM(C4*[1]FunctionList!E6/1000,- O7),"N/A")</f>
        <v>5</v>
      </c>
      <c r="M4" s="119"/>
      <c r="N4" s="119"/>
      <c r="O4" s="119"/>
      <c r="P4" s="119"/>
      <c r="Q4" s="119"/>
      <c r="R4" s="119"/>
      <c r="S4" s="119"/>
      <c r="T4" s="120"/>
      <c r="V4" s="4"/>
    </row>
    <row r="5" spans="1:22" ht="13.5" customHeight="1">
      <c r="A5" s="124" t="s">
        <v>6</v>
      </c>
      <c r="B5" s="125"/>
      <c r="C5" s="112" t="s">
        <v>75</v>
      </c>
      <c r="D5" s="112"/>
      <c r="E5" s="112"/>
      <c r="F5" s="113"/>
      <c r="G5" s="113"/>
      <c r="H5" s="113"/>
      <c r="I5" s="113"/>
      <c r="J5" s="113"/>
      <c r="K5" s="113"/>
      <c r="L5" s="112"/>
      <c r="M5" s="112"/>
      <c r="N5" s="112"/>
      <c r="O5" s="112"/>
      <c r="P5" s="112"/>
      <c r="Q5" s="112"/>
      <c r="R5" s="112"/>
      <c r="S5" s="112"/>
      <c r="T5" s="112"/>
    </row>
    <row r="6" spans="1:22" ht="13.5" customHeight="1">
      <c r="A6" s="134" t="s">
        <v>7</v>
      </c>
      <c r="B6" s="135"/>
      <c r="C6" s="107" t="s">
        <v>8</v>
      </c>
      <c r="D6" s="105"/>
      <c r="E6" s="128"/>
      <c r="F6" s="107" t="s">
        <v>9</v>
      </c>
      <c r="G6" s="105"/>
      <c r="H6" s="105"/>
      <c r="I6" s="105"/>
      <c r="J6" s="105"/>
      <c r="K6" s="108"/>
      <c r="L6" s="105" t="s">
        <v>10</v>
      </c>
      <c r="M6" s="105"/>
      <c r="N6" s="105"/>
      <c r="O6" s="104" t="s">
        <v>11</v>
      </c>
      <c r="P6" s="105"/>
      <c r="Q6" s="105"/>
      <c r="R6" s="105"/>
      <c r="S6" s="105"/>
      <c r="T6" s="106"/>
      <c r="V6" s="4"/>
    </row>
    <row r="7" spans="1:22" ht="13.5" customHeight="1" thickBot="1">
      <c r="A7" s="121">
        <f>COUNTIF(F31:HQ31,"P")</f>
        <v>4</v>
      </c>
      <c r="B7" s="122"/>
      <c r="C7" s="109">
        <f>COUNTIF(F31:HQ31,"F")</f>
        <v>1</v>
      </c>
      <c r="D7" s="110"/>
      <c r="E7" s="122"/>
      <c r="F7" s="109">
        <f>SUM(O7,- A7,- C7)</f>
        <v>0</v>
      </c>
      <c r="G7" s="110"/>
      <c r="H7" s="110"/>
      <c r="I7" s="110"/>
      <c r="J7" s="110"/>
      <c r="K7" s="111"/>
      <c r="L7" s="94">
        <f>COUNTIF(E30:HQ30,"N")</f>
        <v>2</v>
      </c>
      <c r="M7" s="94">
        <f>COUNTIF(E30:HQ30,"A")</f>
        <v>2</v>
      </c>
      <c r="N7" s="94">
        <f>COUNTIF(E30:HQ30,"B")</f>
        <v>1</v>
      </c>
      <c r="O7" s="126">
        <f>COUNTA(E9:HT9)</f>
        <v>5</v>
      </c>
      <c r="P7" s="110"/>
      <c r="Q7" s="110"/>
      <c r="R7" s="110"/>
      <c r="S7" s="110"/>
      <c r="T7" s="127"/>
      <c r="U7" s="8"/>
    </row>
    <row r="8" spans="1:22" ht="10.8" customHeight="1" thickBot="1"/>
    <row r="9" spans="1:22" ht="46.5" customHeight="1" thickTop="1" thickBot="1">
      <c r="A9" s="10"/>
      <c r="B9" s="11"/>
      <c r="C9" s="12"/>
      <c r="D9" s="13"/>
      <c r="E9" s="12"/>
      <c r="F9" s="14" t="s">
        <v>12</v>
      </c>
      <c r="G9" s="14" t="s">
        <v>13</v>
      </c>
      <c r="H9" s="14" t="s">
        <v>76</v>
      </c>
      <c r="I9" s="14" t="s">
        <v>77</v>
      </c>
      <c r="J9" s="14" t="s">
        <v>78</v>
      </c>
      <c r="K9" s="14"/>
      <c r="L9" s="14"/>
      <c r="M9" s="14"/>
      <c r="N9" s="14"/>
      <c r="O9" s="14"/>
      <c r="P9" s="14"/>
      <c r="Q9" s="14"/>
      <c r="R9" s="14"/>
      <c r="S9" s="14"/>
      <c r="T9" s="15"/>
      <c r="U9" s="16"/>
      <c r="V9" s="4"/>
    </row>
    <row r="10" spans="1:22" ht="13.5" customHeight="1">
      <c r="A10" s="17" t="s">
        <v>14</v>
      </c>
      <c r="B10" s="18" t="s">
        <v>74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</row>
    <row r="11" spans="1:22" ht="13.5" customHeight="1">
      <c r="A11" s="24"/>
      <c r="B11" s="25"/>
      <c r="C11" s="99"/>
      <c r="D11" s="92" t="s">
        <v>79</v>
      </c>
      <c r="E11" s="21"/>
      <c r="F11" s="28" t="s">
        <v>15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9"/>
      <c r="V11" s="4"/>
    </row>
    <row r="12" spans="1:22" ht="13.5" customHeight="1">
      <c r="A12" s="24"/>
      <c r="B12" s="25"/>
      <c r="C12" s="100"/>
      <c r="D12" s="27" t="s">
        <v>80</v>
      </c>
      <c r="E12" s="21"/>
      <c r="F12" s="28"/>
      <c r="G12" s="28" t="s">
        <v>15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</row>
    <row r="13" spans="1:22" ht="13.5" customHeight="1">
      <c r="A13" s="24"/>
      <c r="B13" s="96"/>
      <c r="C13" s="95"/>
      <c r="D13" s="27" t="s">
        <v>90</v>
      </c>
      <c r="E13" s="30"/>
      <c r="F13" s="28"/>
      <c r="G13" s="28"/>
      <c r="H13" s="28" t="s">
        <v>15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9"/>
    </row>
    <row r="14" spans="1:22" ht="13.5" customHeight="1">
      <c r="A14" s="24"/>
      <c r="B14" s="25" t="s">
        <v>72</v>
      </c>
      <c r="C14" s="26"/>
      <c r="D14" s="95"/>
      <c r="E14" s="3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</row>
    <row r="15" spans="1:22" ht="13.5" customHeight="1">
      <c r="A15" s="24"/>
      <c r="B15" s="25"/>
      <c r="C15" s="26"/>
      <c r="D15" s="27" t="s">
        <v>81</v>
      </c>
      <c r="E15" s="31"/>
      <c r="F15" s="28" t="s">
        <v>15</v>
      </c>
      <c r="G15" s="28" t="s">
        <v>15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9"/>
    </row>
    <row r="16" spans="1:22" ht="13.5" customHeight="1">
      <c r="A16" s="24"/>
      <c r="B16" s="25"/>
      <c r="C16" s="26"/>
      <c r="D16" s="27" t="s">
        <v>82</v>
      </c>
      <c r="E16" s="31"/>
      <c r="F16" s="28"/>
      <c r="G16" s="28"/>
      <c r="H16" s="28"/>
      <c r="I16" s="28" t="s">
        <v>15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9"/>
    </row>
    <row r="17" spans="1:21" ht="13.5" customHeight="1">
      <c r="A17" s="24"/>
      <c r="B17" s="25"/>
      <c r="C17" s="26"/>
      <c r="D17" s="27"/>
      <c r="E17" s="31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9"/>
      <c r="U17" s="32"/>
    </row>
    <row r="18" spans="1:21" ht="13.5" customHeight="1">
      <c r="A18" s="24"/>
      <c r="B18" s="25" t="s">
        <v>73</v>
      </c>
      <c r="C18" s="26"/>
      <c r="D18" s="27"/>
      <c r="E18" s="31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32"/>
    </row>
    <row r="19" spans="1:21" ht="13.5" customHeight="1">
      <c r="A19" s="24"/>
      <c r="B19" s="25"/>
      <c r="C19" s="26"/>
      <c r="D19" s="131" t="s">
        <v>81</v>
      </c>
      <c r="E19" s="131"/>
      <c r="F19" s="28" t="s">
        <v>15</v>
      </c>
      <c r="G19" s="28" t="s">
        <v>15</v>
      </c>
      <c r="H19" s="28" t="s">
        <v>15</v>
      </c>
      <c r="I19" s="28" t="s">
        <v>15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</row>
    <row r="20" spans="1:21" ht="13.5" customHeight="1" thickBot="1">
      <c r="A20" s="24"/>
      <c r="B20" s="25"/>
      <c r="C20" s="26"/>
      <c r="D20" s="27" t="s">
        <v>83</v>
      </c>
      <c r="E20" s="31"/>
      <c r="F20" s="28"/>
      <c r="G20" s="28"/>
      <c r="H20" s="28"/>
      <c r="I20" s="28"/>
      <c r="J20" s="28" t="s">
        <v>15</v>
      </c>
      <c r="K20" s="28"/>
      <c r="L20" s="28"/>
      <c r="M20" s="28"/>
      <c r="N20" s="28"/>
      <c r="O20" s="28"/>
      <c r="P20" s="28"/>
      <c r="Q20" s="28"/>
      <c r="R20" s="28"/>
      <c r="S20" s="28"/>
      <c r="T20" s="29"/>
    </row>
    <row r="21" spans="1:21" ht="13.5" customHeight="1">
      <c r="A21" s="33" t="s">
        <v>16</v>
      </c>
      <c r="B21" s="34" t="s">
        <v>17</v>
      </c>
      <c r="C21" s="35"/>
      <c r="D21" s="36"/>
      <c r="E21" s="37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</row>
    <row r="22" spans="1:21" ht="13.5" customHeight="1">
      <c r="A22" s="38"/>
      <c r="B22" s="39"/>
      <c r="C22" s="40"/>
      <c r="D22" s="41" t="s">
        <v>18</v>
      </c>
      <c r="E22" s="42"/>
      <c r="F22" s="28" t="s">
        <v>15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</row>
    <row r="23" spans="1:21" ht="13.5" customHeight="1">
      <c r="A23" s="38"/>
      <c r="B23" s="39"/>
      <c r="C23" s="43"/>
      <c r="D23" s="41" t="s">
        <v>19</v>
      </c>
      <c r="E23" s="44"/>
      <c r="F23" s="28"/>
      <c r="G23" s="28" t="s">
        <v>15</v>
      </c>
      <c r="H23" s="28" t="s">
        <v>15</v>
      </c>
      <c r="I23" s="28" t="s">
        <v>15</v>
      </c>
      <c r="J23" s="28" t="s">
        <v>15</v>
      </c>
      <c r="K23" s="28"/>
      <c r="L23" s="28"/>
      <c r="M23" s="28"/>
      <c r="N23" s="28"/>
      <c r="O23" s="28"/>
      <c r="P23" s="28"/>
      <c r="Q23" s="28"/>
      <c r="R23" s="28"/>
      <c r="S23" s="28"/>
      <c r="T23" s="29"/>
    </row>
    <row r="24" spans="1:21" ht="13.5" customHeight="1">
      <c r="A24" s="38"/>
      <c r="B24" s="39" t="s">
        <v>20</v>
      </c>
      <c r="C24" s="43"/>
      <c r="D24" s="41"/>
      <c r="E24" s="44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9"/>
    </row>
    <row r="25" spans="1:21" ht="13.5" customHeight="1">
      <c r="A25" s="38"/>
      <c r="B25" s="39"/>
      <c r="C25" s="43"/>
      <c r="D25" s="41" t="s">
        <v>84</v>
      </c>
      <c r="E25" s="44"/>
      <c r="F25" s="28" t="s">
        <v>15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9"/>
    </row>
    <row r="26" spans="1:21" ht="13.5" customHeight="1">
      <c r="A26" s="38"/>
      <c r="B26" s="39"/>
      <c r="C26" s="43"/>
      <c r="D26" s="41" t="s">
        <v>85</v>
      </c>
      <c r="E26" s="44"/>
      <c r="F26" s="28"/>
      <c r="G26" s="28" t="s">
        <v>15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9"/>
    </row>
    <row r="27" spans="1:21" ht="13.5" customHeight="1">
      <c r="A27" s="38"/>
      <c r="B27" s="39"/>
      <c r="C27" s="43"/>
      <c r="D27" s="41" t="s">
        <v>86</v>
      </c>
      <c r="E27" s="44"/>
      <c r="F27" s="28"/>
      <c r="G27" s="28"/>
      <c r="H27" s="28" t="s">
        <v>15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9"/>
    </row>
    <row r="28" spans="1:21" ht="13.5" customHeight="1">
      <c r="A28" s="38"/>
      <c r="B28" s="45"/>
      <c r="C28" s="97"/>
      <c r="D28" s="47" t="s">
        <v>87</v>
      </c>
      <c r="E28" s="98"/>
      <c r="F28" s="49"/>
      <c r="G28" s="49"/>
      <c r="H28" s="49"/>
      <c r="I28" s="49" t="s">
        <v>15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0"/>
    </row>
    <row r="29" spans="1:21" ht="13.5" customHeight="1" thickBot="1">
      <c r="A29" s="38"/>
      <c r="B29" s="45"/>
      <c r="C29" s="46"/>
      <c r="D29" s="92" t="s">
        <v>88</v>
      </c>
      <c r="E29" s="48"/>
      <c r="F29" s="49"/>
      <c r="G29" s="49"/>
      <c r="H29" s="49"/>
      <c r="I29" s="49"/>
      <c r="J29" s="49" t="s">
        <v>15</v>
      </c>
      <c r="K29" s="49"/>
      <c r="L29" s="49"/>
      <c r="M29" s="49"/>
      <c r="N29" s="49"/>
      <c r="O29" s="49"/>
      <c r="P29" s="49"/>
      <c r="Q29" s="49"/>
      <c r="R29" s="49"/>
      <c r="S29" s="49"/>
      <c r="T29" s="50"/>
    </row>
    <row r="30" spans="1:21" ht="13.5" customHeight="1" thickTop="1">
      <c r="A30" s="33" t="s">
        <v>21</v>
      </c>
      <c r="B30" s="129" t="s">
        <v>22</v>
      </c>
      <c r="C30" s="129"/>
      <c r="D30" s="129"/>
      <c r="E30" s="93"/>
      <c r="F30" s="51" t="s">
        <v>23</v>
      </c>
      <c r="G30" s="51" t="s">
        <v>24</v>
      </c>
      <c r="H30" s="51" t="s">
        <v>24</v>
      </c>
      <c r="I30" s="51" t="s">
        <v>89</v>
      </c>
      <c r="J30" s="51" t="s">
        <v>23</v>
      </c>
      <c r="K30" s="51"/>
      <c r="L30" s="51"/>
      <c r="M30" s="51"/>
      <c r="N30" s="51"/>
      <c r="O30" s="51"/>
      <c r="P30" s="51"/>
      <c r="Q30" s="51"/>
      <c r="R30" s="51"/>
      <c r="S30" s="51"/>
      <c r="T30" s="52"/>
    </row>
    <row r="31" spans="1:21" ht="13.5" customHeight="1">
      <c r="A31" s="38"/>
      <c r="B31" s="123" t="s">
        <v>25</v>
      </c>
      <c r="C31" s="123"/>
      <c r="D31" s="123"/>
      <c r="E31" s="53"/>
      <c r="F31" s="54" t="s">
        <v>26</v>
      </c>
      <c r="G31" s="54" t="s">
        <v>26</v>
      </c>
      <c r="H31" s="54" t="s">
        <v>19</v>
      </c>
      <c r="I31" s="54" t="s">
        <v>26</v>
      </c>
      <c r="J31" s="54" t="s">
        <v>26</v>
      </c>
      <c r="K31" s="54"/>
      <c r="L31" s="54"/>
      <c r="M31" s="54"/>
      <c r="N31" s="54"/>
      <c r="O31" s="54"/>
      <c r="P31" s="54"/>
      <c r="Q31" s="54"/>
      <c r="R31" s="54"/>
      <c r="S31" s="54"/>
      <c r="T31" s="55"/>
    </row>
    <row r="32" spans="1:21" ht="13.5" customHeight="1">
      <c r="A32" s="38"/>
      <c r="B32" s="143" t="s">
        <v>27</v>
      </c>
      <c r="C32" s="143"/>
      <c r="D32" s="143"/>
      <c r="E32" s="56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8"/>
    </row>
    <row r="33" spans="1:20" ht="10.8" customHeight="1" thickBot="1">
      <c r="A33" s="59"/>
      <c r="B33" s="130" t="s">
        <v>28</v>
      </c>
      <c r="C33" s="130"/>
      <c r="D33" s="130"/>
      <c r="E33" s="60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</row>
    <row r="34" spans="1:20" ht="10.8" customHeight="1" thickTop="1">
      <c r="A34" s="63"/>
    </row>
  </sheetData>
  <mergeCells count="28">
    <mergeCell ref="A4:B4"/>
    <mergeCell ref="B30:D30"/>
    <mergeCell ref="B33:D33"/>
    <mergeCell ref="D19:E19"/>
    <mergeCell ref="F2:K2"/>
    <mergeCell ref="A6:B6"/>
    <mergeCell ref="C4:D4"/>
    <mergeCell ref="C2:E2"/>
    <mergeCell ref="A3:B3"/>
    <mergeCell ref="A2:B2"/>
    <mergeCell ref="B32:D32"/>
    <mergeCell ref="C3:E3"/>
    <mergeCell ref="A7:B7"/>
    <mergeCell ref="B31:D31"/>
    <mergeCell ref="C7:E7"/>
    <mergeCell ref="L6:N6"/>
    <mergeCell ref="A5:B5"/>
    <mergeCell ref="C6:E6"/>
    <mergeCell ref="L2:T2"/>
    <mergeCell ref="O6:T6"/>
    <mergeCell ref="F6:K6"/>
    <mergeCell ref="F7:K7"/>
    <mergeCell ref="C5:T5"/>
    <mergeCell ref="L3:N3"/>
    <mergeCell ref="F3:K3"/>
    <mergeCell ref="L4:T4"/>
    <mergeCell ref="O7:T7"/>
    <mergeCell ref="F4:K4"/>
  </mergeCells>
  <dataValidations count="3">
    <dataValidation type="list" allowBlank="1" showInputMessage="1" showErrorMessage="1" sqref="F65537:T65565 JB65537:JP65565 SX65537:TL65565 ACT65537:ADH65565 AMP65537:AND65565 AWL65537:AWZ65565 BGH65537:BGV65565 BQD65537:BQR65565 BZZ65537:CAN65565 CJV65537:CKJ65565 CTR65537:CUF65565 DDN65537:DEB65565 DNJ65537:DNX65565 DXF65537:DXT65565 EHB65537:EHP65565 EQX65537:ERL65565 FAT65537:FBH65565 FKP65537:FLD65565 FUL65537:FUZ65565 GEH65537:GEV65565 GOD65537:GOR65565 GXZ65537:GYN65565 HHV65537:HIJ65565 HRR65537:HSF65565 IBN65537:ICB65565 ILJ65537:ILX65565 IVF65537:IVT65565 JFB65537:JFP65565 JOX65537:JPL65565 JYT65537:JZH65565 KIP65537:KJD65565 KSL65537:KSZ65565 LCH65537:LCV65565 LMD65537:LMR65565 LVZ65537:LWN65565 MFV65537:MGJ65565 MPR65537:MQF65565 MZN65537:NAB65565 NJJ65537:NJX65565 NTF65537:NTT65565 ODB65537:ODP65565 OMX65537:ONL65565 OWT65537:OXH65565 PGP65537:PHD65565 PQL65537:PQZ65565 QAH65537:QAV65565 QKD65537:QKR65565 QTZ65537:QUN65565 RDV65537:REJ65565 RNR65537:ROF65565 RXN65537:RYB65565 SHJ65537:SHX65565 SRF65537:SRT65565 TBB65537:TBP65565 TKX65537:TLL65565 TUT65537:TVH65565 UEP65537:UFD65565 UOL65537:UOZ65565 UYH65537:UYV65565 VID65537:VIR65565 VRZ65537:VSN65565 WBV65537:WCJ65565 WLR65537:WMF65565 WVN65537:WWB65565 F131073:T131101 JB131073:JP131101 SX131073:TL131101 ACT131073:ADH131101 AMP131073:AND131101 AWL131073:AWZ131101 BGH131073:BGV131101 BQD131073:BQR131101 BZZ131073:CAN131101 CJV131073:CKJ131101 CTR131073:CUF131101 DDN131073:DEB131101 DNJ131073:DNX131101 DXF131073:DXT131101 EHB131073:EHP131101 EQX131073:ERL131101 FAT131073:FBH131101 FKP131073:FLD131101 FUL131073:FUZ131101 GEH131073:GEV131101 GOD131073:GOR131101 GXZ131073:GYN131101 HHV131073:HIJ131101 HRR131073:HSF131101 IBN131073:ICB131101 ILJ131073:ILX131101 IVF131073:IVT131101 JFB131073:JFP131101 JOX131073:JPL131101 JYT131073:JZH131101 KIP131073:KJD131101 KSL131073:KSZ131101 LCH131073:LCV131101 LMD131073:LMR131101 LVZ131073:LWN131101 MFV131073:MGJ131101 MPR131073:MQF131101 MZN131073:NAB131101 NJJ131073:NJX131101 NTF131073:NTT131101 ODB131073:ODP131101 OMX131073:ONL131101 OWT131073:OXH131101 PGP131073:PHD131101 PQL131073:PQZ131101 QAH131073:QAV131101 QKD131073:QKR131101 QTZ131073:QUN131101 RDV131073:REJ131101 RNR131073:ROF131101 RXN131073:RYB131101 SHJ131073:SHX131101 SRF131073:SRT131101 TBB131073:TBP131101 TKX131073:TLL131101 TUT131073:TVH131101 UEP131073:UFD131101 UOL131073:UOZ131101 UYH131073:UYV131101 VID131073:VIR131101 VRZ131073:VSN131101 WBV131073:WCJ131101 WLR131073:WMF131101 WVN131073:WWB131101 F196609:T196637 JB196609:JP196637 SX196609:TL196637 ACT196609:ADH196637 AMP196609:AND196637 AWL196609:AWZ196637 BGH196609:BGV196637 BQD196609:BQR196637 BZZ196609:CAN196637 CJV196609:CKJ196637 CTR196609:CUF196637 DDN196609:DEB196637 DNJ196609:DNX196637 DXF196609:DXT196637 EHB196609:EHP196637 EQX196609:ERL196637 FAT196609:FBH196637 FKP196609:FLD196637 FUL196609:FUZ196637 GEH196609:GEV196637 GOD196609:GOR196637 GXZ196609:GYN196637 HHV196609:HIJ196637 HRR196609:HSF196637 IBN196609:ICB196637 ILJ196609:ILX196637 IVF196609:IVT196637 JFB196609:JFP196637 JOX196609:JPL196637 JYT196609:JZH196637 KIP196609:KJD196637 KSL196609:KSZ196637 LCH196609:LCV196637 LMD196609:LMR196637 LVZ196609:LWN196637 MFV196609:MGJ196637 MPR196609:MQF196637 MZN196609:NAB196637 NJJ196609:NJX196637 NTF196609:NTT196637 ODB196609:ODP196637 OMX196609:ONL196637 OWT196609:OXH196637 PGP196609:PHD196637 PQL196609:PQZ196637 QAH196609:QAV196637 QKD196609:QKR196637 QTZ196609:QUN196637 RDV196609:REJ196637 RNR196609:ROF196637 RXN196609:RYB196637 SHJ196609:SHX196637 SRF196609:SRT196637 TBB196609:TBP196637 TKX196609:TLL196637 TUT196609:TVH196637 UEP196609:UFD196637 UOL196609:UOZ196637 UYH196609:UYV196637 VID196609:VIR196637 VRZ196609:VSN196637 WBV196609:WCJ196637 WLR196609:WMF196637 WVN196609:WWB196637 F262145:T262173 JB262145:JP262173 SX262145:TL262173 ACT262145:ADH262173 AMP262145:AND262173 AWL262145:AWZ262173 BGH262145:BGV262173 BQD262145:BQR262173 BZZ262145:CAN262173 CJV262145:CKJ262173 CTR262145:CUF262173 DDN262145:DEB262173 DNJ262145:DNX262173 DXF262145:DXT262173 EHB262145:EHP262173 EQX262145:ERL262173 FAT262145:FBH262173 FKP262145:FLD262173 FUL262145:FUZ262173 GEH262145:GEV262173 GOD262145:GOR262173 GXZ262145:GYN262173 HHV262145:HIJ262173 HRR262145:HSF262173 IBN262145:ICB262173 ILJ262145:ILX262173 IVF262145:IVT262173 JFB262145:JFP262173 JOX262145:JPL262173 JYT262145:JZH262173 KIP262145:KJD262173 KSL262145:KSZ262173 LCH262145:LCV262173 LMD262145:LMR262173 LVZ262145:LWN262173 MFV262145:MGJ262173 MPR262145:MQF262173 MZN262145:NAB262173 NJJ262145:NJX262173 NTF262145:NTT262173 ODB262145:ODP262173 OMX262145:ONL262173 OWT262145:OXH262173 PGP262145:PHD262173 PQL262145:PQZ262173 QAH262145:QAV262173 QKD262145:QKR262173 QTZ262145:QUN262173 RDV262145:REJ262173 RNR262145:ROF262173 RXN262145:RYB262173 SHJ262145:SHX262173 SRF262145:SRT262173 TBB262145:TBP262173 TKX262145:TLL262173 TUT262145:TVH262173 UEP262145:UFD262173 UOL262145:UOZ262173 UYH262145:UYV262173 VID262145:VIR262173 VRZ262145:VSN262173 WBV262145:WCJ262173 WLR262145:WMF262173 WVN262145:WWB262173 F327681:T327709 JB327681:JP327709 SX327681:TL327709 ACT327681:ADH327709 AMP327681:AND327709 AWL327681:AWZ327709 BGH327681:BGV327709 BQD327681:BQR327709 BZZ327681:CAN327709 CJV327681:CKJ327709 CTR327681:CUF327709 DDN327681:DEB327709 DNJ327681:DNX327709 DXF327681:DXT327709 EHB327681:EHP327709 EQX327681:ERL327709 FAT327681:FBH327709 FKP327681:FLD327709 FUL327681:FUZ327709 GEH327681:GEV327709 GOD327681:GOR327709 GXZ327681:GYN327709 HHV327681:HIJ327709 HRR327681:HSF327709 IBN327681:ICB327709 ILJ327681:ILX327709 IVF327681:IVT327709 JFB327681:JFP327709 JOX327681:JPL327709 JYT327681:JZH327709 KIP327681:KJD327709 KSL327681:KSZ327709 LCH327681:LCV327709 LMD327681:LMR327709 LVZ327681:LWN327709 MFV327681:MGJ327709 MPR327681:MQF327709 MZN327681:NAB327709 NJJ327681:NJX327709 NTF327681:NTT327709 ODB327681:ODP327709 OMX327681:ONL327709 OWT327681:OXH327709 PGP327681:PHD327709 PQL327681:PQZ327709 QAH327681:QAV327709 QKD327681:QKR327709 QTZ327681:QUN327709 RDV327681:REJ327709 RNR327681:ROF327709 RXN327681:RYB327709 SHJ327681:SHX327709 SRF327681:SRT327709 TBB327681:TBP327709 TKX327681:TLL327709 TUT327681:TVH327709 UEP327681:UFD327709 UOL327681:UOZ327709 UYH327681:UYV327709 VID327681:VIR327709 VRZ327681:VSN327709 WBV327681:WCJ327709 WLR327681:WMF327709 WVN327681:WWB327709 F393217:T393245 JB393217:JP393245 SX393217:TL393245 ACT393217:ADH393245 AMP393217:AND393245 AWL393217:AWZ393245 BGH393217:BGV393245 BQD393217:BQR393245 BZZ393217:CAN393245 CJV393217:CKJ393245 CTR393217:CUF393245 DDN393217:DEB393245 DNJ393217:DNX393245 DXF393217:DXT393245 EHB393217:EHP393245 EQX393217:ERL393245 FAT393217:FBH393245 FKP393217:FLD393245 FUL393217:FUZ393245 GEH393217:GEV393245 GOD393217:GOR393245 GXZ393217:GYN393245 HHV393217:HIJ393245 HRR393217:HSF393245 IBN393217:ICB393245 ILJ393217:ILX393245 IVF393217:IVT393245 JFB393217:JFP393245 JOX393217:JPL393245 JYT393217:JZH393245 KIP393217:KJD393245 KSL393217:KSZ393245 LCH393217:LCV393245 LMD393217:LMR393245 LVZ393217:LWN393245 MFV393217:MGJ393245 MPR393217:MQF393245 MZN393217:NAB393245 NJJ393217:NJX393245 NTF393217:NTT393245 ODB393217:ODP393245 OMX393217:ONL393245 OWT393217:OXH393245 PGP393217:PHD393245 PQL393217:PQZ393245 QAH393217:QAV393245 QKD393217:QKR393245 QTZ393217:QUN393245 RDV393217:REJ393245 RNR393217:ROF393245 RXN393217:RYB393245 SHJ393217:SHX393245 SRF393217:SRT393245 TBB393217:TBP393245 TKX393217:TLL393245 TUT393217:TVH393245 UEP393217:UFD393245 UOL393217:UOZ393245 UYH393217:UYV393245 VID393217:VIR393245 VRZ393217:VSN393245 WBV393217:WCJ393245 WLR393217:WMF393245 WVN393217:WWB393245 F458753:T458781 JB458753:JP458781 SX458753:TL458781 ACT458753:ADH458781 AMP458753:AND458781 AWL458753:AWZ458781 BGH458753:BGV458781 BQD458753:BQR458781 BZZ458753:CAN458781 CJV458753:CKJ458781 CTR458753:CUF458781 DDN458753:DEB458781 DNJ458753:DNX458781 DXF458753:DXT458781 EHB458753:EHP458781 EQX458753:ERL458781 FAT458753:FBH458781 FKP458753:FLD458781 FUL458753:FUZ458781 GEH458753:GEV458781 GOD458753:GOR458781 GXZ458753:GYN458781 HHV458753:HIJ458781 HRR458753:HSF458781 IBN458753:ICB458781 ILJ458753:ILX458781 IVF458753:IVT458781 JFB458753:JFP458781 JOX458753:JPL458781 JYT458753:JZH458781 KIP458753:KJD458781 KSL458753:KSZ458781 LCH458753:LCV458781 LMD458753:LMR458781 LVZ458753:LWN458781 MFV458753:MGJ458781 MPR458753:MQF458781 MZN458753:NAB458781 NJJ458753:NJX458781 NTF458753:NTT458781 ODB458753:ODP458781 OMX458753:ONL458781 OWT458753:OXH458781 PGP458753:PHD458781 PQL458753:PQZ458781 QAH458753:QAV458781 QKD458753:QKR458781 QTZ458753:QUN458781 RDV458753:REJ458781 RNR458753:ROF458781 RXN458753:RYB458781 SHJ458753:SHX458781 SRF458753:SRT458781 TBB458753:TBP458781 TKX458753:TLL458781 TUT458753:TVH458781 UEP458753:UFD458781 UOL458753:UOZ458781 UYH458753:UYV458781 VID458753:VIR458781 VRZ458753:VSN458781 WBV458753:WCJ458781 WLR458753:WMF458781 WVN458753:WWB458781 F524289:T524317 JB524289:JP524317 SX524289:TL524317 ACT524289:ADH524317 AMP524289:AND524317 AWL524289:AWZ524317 BGH524289:BGV524317 BQD524289:BQR524317 BZZ524289:CAN524317 CJV524289:CKJ524317 CTR524289:CUF524317 DDN524289:DEB524317 DNJ524289:DNX524317 DXF524289:DXT524317 EHB524289:EHP524317 EQX524289:ERL524317 FAT524289:FBH524317 FKP524289:FLD524317 FUL524289:FUZ524317 GEH524289:GEV524317 GOD524289:GOR524317 GXZ524289:GYN524317 HHV524289:HIJ524317 HRR524289:HSF524317 IBN524289:ICB524317 ILJ524289:ILX524317 IVF524289:IVT524317 JFB524289:JFP524317 JOX524289:JPL524317 JYT524289:JZH524317 KIP524289:KJD524317 KSL524289:KSZ524317 LCH524289:LCV524317 LMD524289:LMR524317 LVZ524289:LWN524317 MFV524289:MGJ524317 MPR524289:MQF524317 MZN524289:NAB524317 NJJ524289:NJX524317 NTF524289:NTT524317 ODB524289:ODP524317 OMX524289:ONL524317 OWT524289:OXH524317 PGP524289:PHD524317 PQL524289:PQZ524317 QAH524289:QAV524317 QKD524289:QKR524317 QTZ524289:QUN524317 RDV524289:REJ524317 RNR524289:ROF524317 RXN524289:RYB524317 SHJ524289:SHX524317 SRF524289:SRT524317 TBB524289:TBP524317 TKX524289:TLL524317 TUT524289:TVH524317 UEP524289:UFD524317 UOL524289:UOZ524317 UYH524289:UYV524317 VID524289:VIR524317 VRZ524289:VSN524317 WBV524289:WCJ524317 WLR524289:WMF524317 WVN524289:WWB524317 F589825:T589853 JB589825:JP589853 SX589825:TL589853 ACT589825:ADH589853 AMP589825:AND589853 AWL589825:AWZ589853 BGH589825:BGV589853 BQD589825:BQR589853 BZZ589825:CAN589853 CJV589825:CKJ589853 CTR589825:CUF589853 DDN589825:DEB589853 DNJ589825:DNX589853 DXF589825:DXT589853 EHB589825:EHP589853 EQX589825:ERL589853 FAT589825:FBH589853 FKP589825:FLD589853 FUL589825:FUZ589853 GEH589825:GEV589853 GOD589825:GOR589853 GXZ589825:GYN589853 HHV589825:HIJ589853 HRR589825:HSF589853 IBN589825:ICB589853 ILJ589825:ILX589853 IVF589825:IVT589853 JFB589825:JFP589853 JOX589825:JPL589853 JYT589825:JZH589853 KIP589825:KJD589853 KSL589825:KSZ589853 LCH589825:LCV589853 LMD589825:LMR589853 LVZ589825:LWN589853 MFV589825:MGJ589853 MPR589825:MQF589853 MZN589825:NAB589853 NJJ589825:NJX589853 NTF589825:NTT589853 ODB589825:ODP589853 OMX589825:ONL589853 OWT589825:OXH589853 PGP589825:PHD589853 PQL589825:PQZ589853 QAH589825:QAV589853 QKD589825:QKR589853 QTZ589825:QUN589853 RDV589825:REJ589853 RNR589825:ROF589853 RXN589825:RYB589853 SHJ589825:SHX589853 SRF589825:SRT589853 TBB589825:TBP589853 TKX589825:TLL589853 TUT589825:TVH589853 UEP589825:UFD589853 UOL589825:UOZ589853 UYH589825:UYV589853 VID589825:VIR589853 VRZ589825:VSN589853 WBV589825:WCJ589853 WLR589825:WMF589853 WVN589825:WWB589853 F655361:T655389 JB655361:JP655389 SX655361:TL655389 ACT655361:ADH655389 AMP655361:AND655389 AWL655361:AWZ655389 BGH655361:BGV655389 BQD655361:BQR655389 BZZ655361:CAN655389 CJV655361:CKJ655389 CTR655361:CUF655389 DDN655361:DEB655389 DNJ655361:DNX655389 DXF655361:DXT655389 EHB655361:EHP655389 EQX655361:ERL655389 FAT655361:FBH655389 FKP655361:FLD655389 FUL655361:FUZ655389 GEH655361:GEV655389 GOD655361:GOR655389 GXZ655361:GYN655389 HHV655361:HIJ655389 HRR655361:HSF655389 IBN655361:ICB655389 ILJ655361:ILX655389 IVF655361:IVT655389 JFB655361:JFP655389 JOX655361:JPL655389 JYT655361:JZH655389 KIP655361:KJD655389 KSL655361:KSZ655389 LCH655361:LCV655389 LMD655361:LMR655389 LVZ655361:LWN655389 MFV655361:MGJ655389 MPR655361:MQF655389 MZN655361:NAB655389 NJJ655361:NJX655389 NTF655361:NTT655389 ODB655361:ODP655389 OMX655361:ONL655389 OWT655361:OXH655389 PGP655361:PHD655389 PQL655361:PQZ655389 QAH655361:QAV655389 QKD655361:QKR655389 QTZ655361:QUN655389 RDV655361:REJ655389 RNR655361:ROF655389 RXN655361:RYB655389 SHJ655361:SHX655389 SRF655361:SRT655389 TBB655361:TBP655389 TKX655361:TLL655389 TUT655361:TVH655389 UEP655361:UFD655389 UOL655361:UOZ655389 UYH655361:UYV655389 VID655361:VIR655389 VRZ655361:VSN655389 WBV655361:WCJ655389 WLR655361:WMF655389 WVN655361:WWB655389 F720897:T720925 JB720897:JP720925 SX720897:TL720925 ACT720897:ADH720925 AMP720897:AND720925 AWL720897:AWZ720925 BGH720897:BGV720925 BQD720897:BQR720925 BZZ720897:CAN720925 CJV720897:CKJ720925 CTR720897:CUF720925 DDN720897:DEB720925 DNJ720897:DNX720925 DXF720897:DXT720925 EHB720897:EHP720925 EQX720897:ERL720925 FAT720897:FBH720925 FKP720897:FLD720925 FUL720897:FUZ720925 GEH720897:GEV720925 GOD720897:GOR720925 GXZ720897:GYN720925 HHV720897:HIJ720925 HRR720897:HSF720925 IBN720897:ICB720925 ILJ720897:ILX720925 IVF720897:IVT720925 JFB720897:JFP720925 JOX720897:JPL720925 JYT720897:JZH720925 KIP720897:KJD720925 KSL720897:KSZ720925 LCH720897:LCV720925 LMD720897:LMR720925 LVZ720897:LWN720925 MFV720897:MGJ720925 MPR720897:MQF720925 MZN720897:NAB720925 NJJ720897:NJX720925 NTF720897:NTT720925 ODB720897:ODP720925 OMX720897:ONL720925 OWT720897:OXH720925 PGP720897:PHD720925 PQL720897:PQZ720925 QAH720897:QAV720925 QKD720897:QKR720925 QTZ720897:QUN720925 RDV720897:REJ720925 RNR720897:ROF720925 RXN720897:RYB720925 SHJ720897:SHX720925 SRF720897:SRT720925 TBB720897:TBP720925 TKX720897:TLL720925 TUT720897:TVH720925 UEP720897:UFD720925 UOL720897:UOZ720925 UYH720897:UYV720925 VID720897:VIR720925 VRZ720897:VSN720925 WBV720897:WCJ720925 WLR720897:WMF720925 WVN720897:WWB720925 F786433:T786461 JB786433:JP786461 SX786433:TL786461 ACT786433:ADH786461 AMP786433:AND786461 AWL786433:AWZ786461 BGH786433:BGV786461 BQD786433:BQR786461 BZZ786433:CAN786461 CJV786433:CKJ786461 CTR786433:CUF786461 DDN786433:DEB786461 DNJ786433:DNX786461 DXF786433:DXT786461 EHB786433:EHP786461 EQX786433:ERL786461 FAT786433:FBH786461 FKP786433:FLD786461 FUL786433:FUZ786461 GEH786433:GEV786461 GOD786433:GOR786461 GXZ786433:GYN786461 HHV786433:HIJ786461 HRR786433:HSF786461 IBN786433:ICB786461 ILJ786433:ILX786461 IVF786433:IVT786461 JFB786433:JFP786461 JOX786433:JPL786461 JYT786433:JZH786461 KIP786433:KJD786461 KSL786433:KSZ786461 LCH786433:LCV786461 LMD786433:LMR786461 LVZ786433:LWN786461 MFV786433:MGJ786461 MPR786433:MQF786461 MZN786433:NAB786461 NJJ786433:NJX786461 NTF786433:NTT786461 ODB786433:ODP786461 OMX786433:ONL786461 OWT786433:OXH786461 PGP786433:PHD786461 PQL786433:PQZ786461 QAH786433:QAV786461 QKD786433:QKR786461 QTZ786433:QUN786461 RDV786433:REJ786461 RNR786433:ROF786461 RXN786433:RYB786461 SHJ786433:SHX786461 SRF786433:SRT786461 TBB786433:TBP786461 TKX786433:TLL786461 TUT786433:TVH786461 UEP786433:UFD786461 UOL786433:UOZ786461 UYH786433:UYV786461 VID786433:VIR786461 VRZ786433:VSN786461 WBV786433:WCJ786461 WLR786433:WMF786461 WVN786433:WWB786461 F851969:T851997 JB851969:JP851997 SX851969:TL851997 ACT851969:ADH851997 AMP851969:AND851997 AWL851969:AWZ851997 BGH851969:BGV851997 BQD851969:BQR851997 BZZ851969:CAN851997 CJV851969:CKJ851997 CTR851969:CUF851997 DDN851969:DEB851997 DNJ851969:DNX851997 DXF851969:DXT851997 EHB851969:EHP851997 EQX851969:ERL851997 FAT851969:FBH851997 FKP851969:FLD851997 FUL851969:FUZ851997 GEH851969:GEV851997 GOD851969:GOR851997 GXZ851969:GYN851997 HHV851969:HIJ851997 HRR851969:HSF851997 IBN851969:ICB851997 ILJ851969:ILX851997 IVF851969:IVT851997 JFB851969:JFP851997 JOX851969:JPL851997 JYT851969:JZH851997 KIP851969:KJD851997 KSL851969:KSZ851997 LCH851969:LCV851997 LMD851969:LMR851997 LVZ851969:LWN851997 MFV851969:MGJ851997 MPR851969:MQF851997 MZN851969:NAB851997 NJJ851969:NJX851997 NTF851969:NTT851997 ODB851969:ODP851997 OMX851969:ONL851997 OWT851969:OXH851997 PGP851969:PHD851997 PQL851969:PQZ851997 QAH851969:QAV851997 QKD851969:QKR851997 QTZ851969:QUN851997 RDV851969:REJ851997 RNR851969:ROF851997 RXN851969:RYB851997 SHJ851969:SHX851997 SRF851969:SRT851997 TBB851969:TBP851997 TKX851969:TLL851997 TUT851969:TVH851997 UEP851969:UFD851997 UOL851969:UOZ851997 UYH851969:UYV851997 VID851969:VIR851997 VRZ851969:VSN851997 WBV851969:WCJ851997 WLR851969:WMF851997 WVN851969:WWB851997 F917505:T917533 JB917505:JP917533 SX917505:TL917533 ACT917505:ADH917533 AMP917505:AND917533 AWL917505:AWZ917533 BGH917505:BGV917533 BQD917505:BQR917533 BZZ917505:CAN917533 CJV917505:CKJ917533 CTR917505:CUF917533 DDN917505:DEB917533 DNJ917505:DNX917533 DXF917505:DXT917533 EHB917505:EHP917533 EQX917505:ERL917533 FAT917505:FBH917533 FKP917505:FLD917533 FUL917505:FUZ917533 GEH917505:GEV917533 GOD917505:GOR917533 GXZ917505:GYN917533 HHV917505:HIJ917533 HRR917505:HSF917533 IBN917505:ICB917533 ILJ917505:ILX917533 IVF917505:IVT917533 JFB917505:JFP917533 JOX917505:JPL917533 JYT917505:JZH917533 KIP917505:KJD917533 KSL917505:KSZ917533 LCH917505:LCV917533 LMD917505:LMR917533 LVZ917505:LWN917533 MFV917505:MGJ917533 MPR917505:MQF917533 MZN917505:NAB917533 NJJ917505:NJX917533 NTF917505:NTT917533 ODB917505:ODP917533 OMX917505:ONL917533 OWT917505:OXH917533 PGP917505:PHD917533 PQL917505:PQZ917533 QAH917505:QAV917533 QKD917505:QKR917533 QTZ917505:QUN917533 RDV917505:REJ917533 RNR917505:ROF917533 RXN917505:RYB917533 SHJ917505:SHX917533 SRF917505:SRT917533 TBB917505:TBP917533 TKX917505:TLL917533 TUT917505:TVH917533 UEP917505:UFD917533 UOL917505:UOZ917533 UYH917505:UYV917533 VID917505:VIR917533 VRZ917505:VSN917533 WBV917505:WCJ917533 WLR917505:WMF917533 WVN917505:WWB917533 F983041:T983069 JB983041:JP983069 SX983041:TL983069 ACT983041:ADH983069 AMP983041:AND983069 AWL983041:AWZ983069 BGH983041:BGV983069 BQD983041:BQR983069 BZZ983041:CAN983069 CJV983041:CKJ983069 CTR983041:CUF983069 DDN983041:DEB983069 DNJ983041:DNX983069 DXF983041:DXT983069 EHB983041:EHP983069 EQX983041:ERL983069 FAT983041:FBH983069 FKP983041:FLD983069 FUL983041:FUZ983069 GEH983041:GEV983069 GOD983041:GOR983069 GXZ983041:GYN983069 HHV983041:HIJ983069 HRR983041:HSF983069 IBN983041:ICB983069 ILJ983041:ILX983069 IVF983041:IVT983069 JFB983041:JFP983069 JOX983041:JPL983069 JYT983041:JZH983069 KIP983041:KJD983069 KSL983041:KSZ983069 LCH983041:LCV983069 LMD983041:LMR983069 LVZ983041:LWN983069 MFV983041:MGJ983069 MPR983041:MQF983069 MZN983041:NAB983069 NJJ983041:NJX983069 NTF983041:NTT983069 ODB983041:ODP983069 OMX983041:ONL983069 OWT983041:OXH983069 PGP983041:PHD983069 PQL983041:PQZ983069 QAH983041:QAV983069 QKD983041:QKR983069 QTZ983041:QUN983069 RDV983041:REJ983069 RNR983041:ROF983069 RXN983041:RYB983069 SHJ983041:SHX983069 SRF983041:SRT983069 TBB983041:TBP983069 TKX983041:TLL983069 TUT983041:TVH983069 UEP983041:UFD983069 UOL983041:UOZ983069 UYH983041:UYV983069 VID983041:VIR983069 VRZ983041:VSN983069 WBV983041:WCJ983069 WLR983041:WMF983069 WVN983041:WWB983069 F10:T29 JB10:JP29 SX10:TL29 ACT10:ADH29 AMP10:AND29 AWL10:AWZ29 BGH10:BGV29 BQD10:BQR29 BZZ10:CAN29 CJV10:CKJ29 CTR10:CUF29 DDN10:DEB29 DNJ10:DNX29 DXF10:DXT29 EHB10:EHP29 EQX10:ERL29 FAT10:FBH29 FKP10:FLD29 FUL10:FUZ29 GEH10:GEV29 GOD10:GOR29 GXZ10:GYN29 HHV10:HIJ29 HRR10:HSF29 IBN10:ICB29 ILJ10:ILX29 IVF10:IVT29 JFB10:JFP29 JOX10:JPL29 JYT10:JZH29 KIP10:KJD29 KSL10:KSZ29 LCH10:LCV29 LMD10:LMR29 LVZ10:LWN29 MFV10:MGJ29 MPR10:MQF29 MZN10:NAB29 NJJ10:NJX29 NTF10:NTT29 ODB10:ODP29 OMX10:ONL29 OWT10:OXH29 PGP10:PHD29 PQL10:PQZ29 QAH10:QAV29 QKD10:QKR29 QTZ10:QUN29 RDV10:REJ29 RNR10:ROF29 RXN10:RYB29 SHJ10:SHX29 SRF10:SRT29 TBB10:TBP29 TKX10:TLL29 TUT10:TVH29 UEP10:UFD29 UOL10:UOZ29 UYH10:UYV29 VID10:VIR29 VRZ10:VSN29 WBV10:WCJ29 WLR10:WMF29 WVN10:WWB29" xr:uid="{5C197FED-FC43-4F43-9544-9903727E058A}">
      <formula1>"O, "</formula1>
    </dataValidation>
    <dataValidation type="list" allowBlank="1" showInputMessage="1" showErrorMessage="1" sqref="F31:T31 JB31:JP31 SX31:TL31 ACT31:ADH31 AMP31:AND31 AWL31:AWZ31 BGH31:BGV31 BQD31:BQR31 BZZ31:CAN31 CJV31:CKJ31 CTR31:CUF31 DDN31:DEB31 DNJ31:DNX31 DXF31:DXT31 EHB31:EHP31 EQX31:ERL31 FAT31:FBH31 FKP31:FLD31 FUL31:FUZ31 GEH31:GEV31 GOD31:GOR31 GXZ31:GYN31 HHV31:HIJ31 HRR31:HSF31 IBN31:ICB31 ILJ31:ILX31 IVF31:IVT31 JFB31:JFP31 JOX31:JPL31 JYT31:JZH31 KIP31:KJD31 KSL31:KSZ31 LCH31:LCV31 LMD31:LMR31 LVZ31:LWN31 MFV31:MGJ31 MPR31:MQF31 MZN31:NAB31 NJJ31:NJX31 NTF31:NTT31 ODB31:ODP31 OMX31:ONL31 OWT31:OXH31 PGP31:PHD31 PQL31:PQZ31 QAH31:QAV31 QKD31:QKR31 QTZ31:QUN31 RDV31:REJ31 RNR31:ROF31 RXN31:RYB31 SHJ31:SHX31 SRF31:SRT31 TBB31:TBP31 TKX31:TLL31 TUT31:TVH31 UEP31:UFD31 UOL31:UOZ31 UYH31:UYV31 VID31:VIR31 VRZ31:VSN31 WBV31:WCJ31 WLR31:WMF31 WVN31:WWB31 F65567:T65567 JB65567:JP65567 SX65567:TL65567 ACT65567:ADH65567 AMP65567:AND65567 AWL65567:AWZ65567 BGH65567:BGV65567 BQD65567:BQR65567 BZZ65567:CAN65567 CJV65567:CKJ65567 CTR65567:CUF65567 DDN65567:DEB65567 DNJ65567:DNX65567 DXF65567:DXT65567 EHB65567:EHP65567 EQX65567:ERL65567 FAT65567:FBH65567 FKP65567:FLD65567 FUL65567:FUZ65567 GEH65567:GEV65567 GOD65567:GOR65567 GXZ65567:GYN65567 HHV65567:HIJ65567 HRR65567:HSF65567 IBN65567:ICB65567 ILJ65567:ILX65567 IVF65567:IVT65567 JFB65567:JFP65567 JOX65567:JPL65567 JYT65567:JZH65567 KIP65567:KJD65567 KSL65567:KSZ65567 LCH65567:LCV65567 LMD65567:LMR65567 LVZ65567:LWN65567 MFV65567:MGJ65567 MPR65567:MQF65567 MZN65567:NAB65567 NJJ65567:NJX65567 NTF65567:NTT65567 ODB65567:ODP65567 OMX65567:ONL65567 OWT65567:OXH65567 PGP65567:PHD65567 PQL65567:PQZ65567 QAH65567:QAV65567 QKD65567:QKR65567 QTZ65567:QUN65567 RDV65567:REJ65567 RNR65567:ROF65567 RXN65567:RYB65567 SHJ65567:SHX65567 SRF65567:SRT65567 TBB65567:TBP65567 TKX65567:TLL65567 TUT65567:TVH65567 UEP65567:UFD65567 UOL65567:UOZ65567 UYH65567:UYV65567 VID65567:VIR65567 VRZ65567:VSN65567 WBV65567:WCJ65567 WLR65567:WMF65567 WVN65567:WWB65567 F131103:T131103 JB131103:JP131103 SX131103:TL131103 ACT131103:ADH131103 AMP131103:AND131103 AWL131103:AWZ131103 BGH131103:BGV131103 BQD131103:BQR131103 BZZ131103:CAN131103 CJV131103:CKJ131103 CTR131103:CUF131103 DDN131103:DEB131103 DNJ131103:DNX131103 DXF131103:DXT131103 EHB131103:EHP131103 EQX131103:ERL131103 FAT131103:FBH131103 FKP131103:FLD131103 FUL131103:FUZ131103 GEH131103:GEV131103 GOD131103:GOR131103 GXZ131103:GYN131103 HHV131103:HIJ131103 HRR131103:HSF131103 IBN131103:ICB131103 ILJ131103:ILX131103 IVF131103:IVT131103 JFB131103:JFP131103 JOX131103:JPL131103 JYT131103:JZH131103 KIP131103:KJD131103 KSL131103:KSZ131103 LCH131103:LCV131103 LMD131103:LMR131103 LVZ131103:LWN131103 MFV131103:MGJ131103 MPR131103:MQF131103 MZN131103:NAB131103 NJJ131103:NJX131103 NTF131103:NTT131103 ODB131103:ODP131103 OMX131103:ONL131103 OWT131103:OXH131103 PGP131103:PHD131103 PQL131103:PQZ131103 QAH131103:QAV131103 QKD131103:QKR131103 QTZ131103:QUN131103 RDV131103:REJ131103 RNR131103:ROF131103 RXN131103:RYB131103 SHJ131103:SHX131103 SRF131103:SRT131103 TBB131103:TBP131103 TKX131103:TLL131103 TUT131103:TVH131103 UEP131103:UFD131103 UOL131103:UOZ131103 UYH131103:UYV131103 VID131103:VIR131103 VRZ131103:VSN131103 WBV131103:WCJ131103 WLR131103:WMF131103 WVN131103:WWB131103 F196639:T196639 JB196639:JP196639 SX196639:TL196639 ACT196639:ADH196639 AMP196639:AND196639 AWL196639:AWZ196639 BGH196639:BGV196639 BQD196639:BQR196639 BZZ196639:CAN196639 CJV196639:CKJ196639 CTR196639:CUF196639 DDN196639:DEB196639 DNJ196639:DNX196639 DXF196639:DXT196639 EHB196639:EHP196639 EQX196639:ERL196639 FAT196639:FBH196639 FKP196639:FLD196639 FUL196639:FUZ196639 GEH196639:GEV196639 GOD196639:GOR196639 GXZ196639:GYN196639 HHV196639:HIJ196639 HRR196639:HSF196639 IBN196639:ICB196639 ILJ196639:ILX196639 IVF196639:IVT196639 JFB196639:JFP196639 JOX196639:JPL196639 JYT196639:JZH196639 KIP196639:KJD196639 KSL196639:KSZ196639 LCH196639:LCV196639 LMD196639:LMR196639 LVZ196639:LWN196639 MFV196639:MGJ196639 MPR196639:MQF196639 MZN196639:NAB196639 NJJ196639:NJX196639 NTF196639:NTT196639 ODB196639:ODP196639 OMX196639:ONL196639 OWT196639:OXH196639 PGP196639:PHD196639 PQL196639:PQZ196639 QAH196639:QAV196639 QKD196639:QKR196639 QTZ196639:QUN196639 RDV196639:REJ196639 RNR196639:ROF196639 RXN196639:RYB196639 SHJ196639:SHX196639 SRF196639:SRT196639 TBB196639:TBP196639 TKX196639:TLL196639 TUT196639:TVH196639 UEP196639:UFD196639 UOL196639:UOZ196639 UYH196639:UYV196639 VID196639:VIR196639 VRZ196639:VSN196639 WBV196639:WCJ196639 WLR196639:WMF196639 WVN196639:WWB196639 F262175:T262175 JB262175:JP262175 SX262175:TL262175 ACT262175:ADH262175 AMP262175:AND262175 AWL262175:AWZ262175 BGH262175:BGV262175 BQD262175:BQR262175 BZZ262175:CAN262175 CJV262175:CKJ262175 CTR262175:CUF262175 DDN262175:DEB262175 DNJ262175:DNX262175 DXF262175:DXT262175 EHB262175:EHP262175 EQX262175:ERL262175 FAT262175:FBH262175 FKP262175:FLD262175 FUL262175:FUZ262175 GEH262175:GEV262175 GOD262175:GOR262175 GXZ262175:GYN262175 HHV262175:HIJ262175 HRR262175:HSF262175 IBN262175:ICB262175 ILJ262175:ILX262175 IVF262175:IVT262175 JFB262175:JFP262175 JOX262175:JPL262175 JYT262175:JZH262175 KIP262175:KJD262175 KSL262175:KSZ262175 LCH262175:LCV262175 LMD262175:LMR262175 LVZ262175:LWN262175 MFV262175:MGJ262175 MPR262175:MQF262175 MZN262175:NAB262175 NJJ262175:NJX262175 NTF262175:NTT262175 ODB262175:ODP262175 OMX262175:ONL262175 OWT262175:OXH262175 PGP262175:PHD262175 PQL262175:PQZ262175 QAH262175:QAV262175 QKD262175:QKR262175 QTZ262175:QUN262175 RDV262175:REJ262175 RNR262175:ROF262175 RXN262175:RYB262175 SHJ262175:SHX262175 SRF262175:SRT262175 TBB262175:TBP262175 TKX262175:TLL262175 TUT262175:TVH262175 UEP262175:UFD262175 UOL262175:UOZ262175 UYH262175:UYV262175 VID262175:VIR262175 VRZ262175:VSN262175 WBV262175:WCJ262175 WLR262175:WMF262175 WVN262175:WWB262175 F327711:T327711 JB327711:JP327711 SX327711:TL327711 ACT327711:ADH327711 AMP327711:AND327711 AWL327711:AWZ327711 BGH327711:BGV327711 BQD327711:BQR327711 BZZ327711:CAN327711 CJV327711:CKJ327711 CTR327711:CUF327711 DDN327711:DEB327711 DNJ327711:DNX327711 DXF327711:DXT327711 EHB327711:EHP327711 EQX327711:ERL327711 FAT327711:FBH327711 FKP327711:FLD327711 FUL327711:FUZ327711 GEH327711:GEV327711 GOD327711:GOR327711 GXZ327711:GYN327711 HHV327711:HIJ327711 HRR327711:HSF327711 IBN327711:ICB327711 ILJ327711:ILX327711 IVF327711:IVT327711 JFB327711:JFP327711 JOX327711:JPL327711 JYT327711:JZH327711 KIP327711:KJD327711 KSL327711:KSZ327711 LCH327711:LCV327711 LMD327711:LMR327711 LVZ327711:LWN327711 MFV327711:MGJ327711 MPR327711:MQF327711 MZN327711:NAB327711 NJJ327711:NJX327711 NTF327711:NTT327711 ODB327711:ODP327711 OMX327711:ONL327711 OWT327711:OXH327711 PGP327711:PHD327711 PQL327711:PQZ327711 QAH327711:QAV327711 QKD327711:QKR327711 QTZ327711:QUN327711 RDV327711:REJ327711 RNR327711:ROF327711 RXN327711:RYB327711 SHJ327711:SHX327711 SRF327711:SRT327711 TBB327711:TBP327711 TKX327711:TLL327711 TUT327711:TVH327711 UEP327711:UFD327711 UOL327711:UOZ327711 UYH327711:UYV327711 VID327711:VIR327711 VRZ327711:VSN327711 WBV327711:WCJ327711 WLR327711:WMF327711 WVN327711:WWB327711 F393247:T393247 JB393247:JP393247 SX393247:TL393247 ACT393247:ADH393247 AMP393247:AND393247 AWL393247:AWZ393247 BGH393247:BGV393247 BQD393247:BQR393247 BZZ393247:CAN393247 CJV393247:CKJ393247 CTR393247:CUF393247 DDN393247:DEB393247 DNJ393247:DNX393247 DXF393247:DXT393247 EHB393247:EHP393247 EQX393247:ERL393247 FAT393247:FBH393247 FKP393247:FLD393247 FUL393247:FUZ393247 GEH393247:GEV393247 GOD393247:GOR393247 GXZ393247:GYN393247 HHV393247:HIJ393247 HRR393247:HSF393247 IBN393247:ICB393247 ILJ393247:ILX393247 IVF393247:IVT393247 JFB393247:JFP393247 JOX393247:JPL393247 JYT393247:JZH393247 KIP393247:KJD393247 KSL393247:KSZ393247 LCH393247:LCV393247 LMD393247:LMR393247 LVZ393247:LWN393247 MFV393247:MGJ393247 MPR393247:MQF393247 MZN393247:NAB393247 NJJ393247:NJX393247 NTF393247:NTT393247 ODB393247:ODP393247 OMX393247:ONL393247 OWT393247:OXH393247 PGP393247:PHD393247 PQL393247:PQZ393247 QAH393247:QAV393247 QKD393247:QKR393247 QTZ393247:QUN393247 RDV393247:REJ393247 RNR393247:ROF393247 RXN393247:RYB393247 SHJ393247:SHX393247 SRF393247:SRT393247 TBB393247:TBP393247 TKX393247:TLL393247 TUT393247:TVH393247 UEP393247:UFD393247 UOL393247:UOZ393247 UYH393247:UYV393247 VID393247:VIR393247 VRZ393247:VSN393247 WBV393247:WCJ393247 WLR393247:WMF393247 WVN393247:WWB393247 F458783:T458783 JB458783:JP458783 SX458783:TL458783 ACT458783:ADH458783 AMP458783:AND458783 AWL458783:AWZ458783 BGH458783:BGV458783 BQD458783:BQR458783 BZZ458783:CAN458783 CJV458783:CKJ458783 CTR458783:CUF458783 DDN458783:DEB458783 DNJ458783:DNX458783 DXF458783:DXT458783 EHB458783:EHP458783 EQX458783:ERL458783 FAT458783:FBH458783 FKP458783:FLD458783 FUL458783:FUZ458783 GEH458783:GEV458783 GOD458783:GOR458783 GXZ458783:GYN458783 HHV458783:HIJ458783 HRR458783:HSF458783 IBN458783:ICB458783 ILJ458783:ILX458783 IVF458783:IVT458783 JFB458783:JFP458783 JOX458783:JPL458783 JYT458783:JZH458783 KIP458783:KJD458783 KSL458783:KSZ458783 LCH458783:LCV458783 LMD458783:LMR458783 LVZ458783:LWN458783 MFV458783:MGJ458783 MPR458783:MQF458783 MZN458783:NAB458783 NJJ458783:NJX458783 NTF458783:NTT458783 ODB458783:ODP458783 OMX458783:ONL458783 OWT458783:OXH458783 PGP458783:PHD458783 PQL458783:PQZ458783 QAH458783:QAV458783 QKD458783:QKR458783 QTZ458783:QUN458783 RDV458783:REJ458783 RNR458783:ROF458783 RXN458783:RYB458783 SHJ458783:SHX458783 SRF458783:SRT458783 TBB458783:TBP458783 TKX458783:TLL458783 TUT458783:TVH458783 UEP458783:UFD458783 UOL458783:UOZ458783 UYH458783:UYV458783 VID458783:VIR458783 VRZ458783:VSN458783 WBV458783:WCJ458783 WLR458783:WMF458783 WVN458783:WWB458783 F524319:T524319 JB524319:JP524319 SX524319:TL524319 ACT524319:ADH524319 AMP524319:AND524319 AWL524319:AWZ524319 BGH524319:BGV524319 BQD524319:BQR524319 BZZ524319:CAN524319 CJV524319:CKJ524319 CTR524319:CUF524319 DDN524319:DEB524319 DNJ524319:DNX524319 DXF524319:DXT524319 EHB524319:EHP524319 EQX524319:ERL524319 FAT524319:FBH524319 FKP524319:FLD524319 FUL524319:FUZ524319 GEH524319:GEV524319 GOD524319:GOR524319 GXZ524319:GYN524319 HHV524319:HIJ524319 HRR524319:HSF524319 IBN524319:ICB524319 ILJ524319:ILX524319 IVF524319:IVT524319 JFB524319:JFP524319 JOX524319:JPL524319 JYT524319:JZH524319 KIP524319:KJD524319 KSL524319:KSZ524319 LCH524319:LCV524319 LMD524319:LMR524319 LVZ524319:LWN524319 MFV524319:MGJ524319 MPR524319:MQF524319 MZN524319:NAB524319 NJJ524319:NJX524319 NTF524319:NTT524319 ODB524319:ODP524319 OMX524319:ONL524319 OWT524319:OXH524319 PGP524319:PHD524319 PQL524319:PQZ524319 QAH524319:QAV524319 QKD524319:QKR524319 QTZ524319:QUN524319 RDV524319:REJ524319 RNR524319:ROF524319 RXN524319:RYB524319 SHJ524319:SHX524319 SRF524319:SRT524319 TBB524319:TBP524319 TKX524319:TLL524319 TUT524319:TVH524319 UEP524319:UFD524319 UOL524319:UOZ524319 UYH524319:UYV524319 VID524319:VIR524319 VRZ524319:VSN524319 WBV524319:WCJ524319 WLR524319:WMF524319 WVN524319:WWB524319 F589855:T589855 JB589855:JP589855 SX589855:TL589855 ACT589855:ADH589855 AMP589855:AND589855 AWL589855:AWZ589855 BGH589855:BGV589855 BQD589855:BQR589855 BZZ589855:CAN589855 CJV589855:CKJ589855 CTR589855:CUF589855 DDN589855:DEB589855 DNJ589855:DNX589855 DXF589855:DXT589855 EHB589855:EHP589855 EQX589855:ERL589855 FAT589855:FBH589855 FKP589855:FLD589855 FUL589855:FUZ589855 GEH589855:GEV589855 GOD589855:GOR589855 GXZ589855:GYN589855 HHV589855:HIJ589855 HRR589855:HSF589855 IBN589855:ICB589855 ILJ589855:ILX589855 IVF589855:IVT589855 JFB589855:JFP589855 JOX589855:JPL589855 JYT589855:JZH589855 KIP589855:KJD589855 KSL589855:KSZ589855 LCH589855:LCV589855 LMD589855:LMR589855 LVZ589855:LWN589855 MFV589855:MGJ589855 MPR589855:MQF589855 MZN589855:NAB589855 NJJ589855:NJX589855 NTF589855:NTT589855 ODB589855:ODP589855 OMX589855:ONL589855 OWT589855:OXH589855 PGP589855:PHD589855 PQL589855:PQZ589855 QAH589855:QAV589855 QKD589855:QKR589855 QTZ589855:QUN589855 RDV589855:REJ589855 RNR589855:ROF589855 RXN589855:RYB589855 SHJ589855:SHX589855 SRF589855:SRT589855 TBB589855:TBP589855 TKX589855:TLL589855 TUT589855:TVH589855 UEP589855:UFD589855 UOL589855:UOZ589855 UYH589855:UYV589855 VID589855:VIR589855 VRZ589855:VSN589855 WBV589855:WCJ589855 WLR589855:WMF589855 WVN589855:WWB589855 F655391:T655391 JB655391:JP655391 SX655391:TL655391 ACT655391:ADH655391 AMP655391:AND655391 AWL655391:AWZ655391 BGH655391:BGV655391 BQD655391:BQR655391 BZZ655391:CAN655391 CJV655391:CKJ655391 CTR655391:CUF655391 DDN655391:DEB655391 DNJ655391:DNX655391 DXF655391:DXT655391 EHB655391:EHP655391 EQX655391:ERL655391 FAT655391:FBH655391 FKP655391:FLD655391 FUL655391:FUZ655391 GEH655391:GEV655391 GOD655391:GOR655391 GXZ655391:GYN655391 HHV655391:HIJ655391 HRR655391:HSF655391 IBN655391:ICB655391 ILJ655391:ILX655391 IVF655391:IVT655391 JFB655391:JFP655391 JOX655391:JPL655391 JYT655391:JZH655391 KIP655391:KJD655391 KSL655391:KSZ655391 LCH655391:LCV655391 LMD655391:LMR655391 LVZ655391:LWN655391 MFV655391:MGJ655391 MPR655391:MQF655391 MZN655391:NAB655391 NJJ655391:NJX655391 NTF655391:NTT655391 ODB655391:ODP655391 OMX655391:ONL655391 OWT655391:OXH655391 PGP655391:PHD655391 PQL655391:PQZ655391 QAH655391:QAV655391 QKD655391:QKR655391 QTZ655391:QUN655391 RDV655391:REJ655391 RNR655391:ROF655391 RXN655391:RYB655391 SHJ655391:SHX655391 SRF655391:SRT655391 TBB655391:TBP655391 TKX655391:TLL655391 TUT655391:TVH655391 UEP655391:UFD655391 UOL655391:UOZ655391 UYH655391:UYV655391 VID655391:VIR655391 VRZ655391:VSN655391 WBV655391:WCJ655391 WLR655391:WMF655391 WVN655391:WWB655391 F720927:T720927 JB720927:JP720927 SX720927:TL720927 ACT720927:ADH720927 AMP720927:AND720927 AWL720927:AWZ720927 BGH720927:BGV720927 BQD720927:BQR720927 BZZ720927:CAN720927 CJV720927:CKJ720927 CTR720927:CUF720927 DDN720927:DEB720927 DNJ720927:DNX720927 DXF720927:DXT720927 EHB720927:EHP720927 EQX720927:ERL720927 FAT720927:FBH720927 FKP720927:FLD720927 FUL720927:FUZ720927 GEH720927:GEV720927 GOD720927:GOR720927 GXZ720927:GYN720927 HHV720927:HIJ720927 HRR720927:HSF720927 IBN720927:ICB720927 ILJ720927:ILX720927 IVF720927:IVT720927 JFB720927:JFP720927 JOX720927:JPL720927 JYT720927:JZH720927 KIP720927:KJD720927 KSL720927:KSZ720927 LCH720927:LCV720927 LMD720927:LMR720927 LVZ720927:LWN720927 MFV720927:MGJ720927 MPR720927:MQF720927 MZN720927:NAB720927 NJJ720927:NJX720927 NTF720927:NTT720927 ODB720927:ODP720927 OMX720927:ONL720927 OWT720927:OXH720927 PGP720927:PHD720927 PQL720927:PQZ720927 QAH720927:QAV720927 QKD720927:QKR720927 QTZ720927:QUN720927 RDV720927:REJ720927 RNR720927:ROF720927 RXN720927:RYB720927 SHJ720927:SHX720927 SRF720927:SRT720927 TBB720927:TBP720927 TKX720927:TLL720927 TUT720927:TVH720927 UEP720927:UFD720927 UOL720927:UOZ720927 UYH720927:UYV720927 VID720927:VIR720927 VRZ720927:VSN720927 WBV720927:WCJ720927 WLR720927:WMF720927 WVN720927:WWB720927 F786463:T786463 JB786463:JP786463 SX786463:TL786463 ACT786463:ADH786463 AMP786463:AND786463 AWL786463:AWZ786463 BGH786463:BGV786463 BQD786463:BQR786463 BZZ786463:CAN786463 CJV786463:CKJ786463 CTR786463:CUF786463 DDN786463:DEB786463 DNJ786463:DNX786463 DXF786463:DXT786463 EHB786463:EHP786463 EQX786463:ERL786463 FAT786463:FBH786463 FKP786463:FLD786463 FUL786463:FUZ786463 GEH786463:GEV786463 GOD786463:GOR786463 GXZ786463:GYN786463 HHV786463:HIJ786463 HRR786463:HSF786463 IBN786463:ICB786463 ILJ786463:ILX786463 IVF786463:IVT786463 JFB786463:JFP786463 JOX786463:JPL786463 JYT786463:JZH786463 KIP786463:KJD786463 KSL786463:KSZ786463 LCH786463:LCV786463 LMD786463:LMR786463 LVZ786463:LWN786463 MFV786463:MGJ786463 MPR786463:MQF786463 MZN786463:NAB786463 NJJ786463:NJX786463 NTF786463:NTT786463 ODB786463:ODP786463 OMX786463:ONL786463 OWT786463:OXH786463 PGP786463:PHD786463 PQL786463:PQZ786463 QAH786463:QAV786463 QKD786463:QKR786463 QTZ786463:QUN786463 RDV786463:REJ786463 RNR786463:ROF786463 RXN786463:RYB786463 SHJ786463:SHX786463 SRF786463:SRT786463 TBB786463:TBP786463 TKX786463:TLL786463 TUT786463:TVH786463 UEP786463:UFD786463 UOL786463:UOZ786463 UYH786463:UYV786463 VID786463:VIR786463 VRZ786463:VSN786463 WBV786463:WCJ786463 WLR786463:WMF786463 WVN786463:WWB786463 F851999:T851999 JB851999:JP851999 SX851999:TL851999 ACT851999:ADH851999 AMP851999:AND851999 AWL851999:AWZ851999 BGH851999:BGV851999 BQD851999:BQR851999 BZZ851999:CAN851999 CJV851999:CKJ851999 CTR851999:CUF851999 DDN851999:DEB851999 DNJ851999:DNX851999 DXF851999:DXT851999 EHB851999:EHP851999 EQX851999:ERL851999 FAT851999:FBH851999 FKP851999:FLD851999 FUL851999:FUZ851999 GEH851999:GEV851999 GOD851999:GOR851999 GXZ851999:GYN851999 HHV851999:HIJ851999 HRR851999:HSF851999 IBN851999:ICB851999 ILJ851999:ILX851999 IVF851999:IVT851999 JFB851999:JFP851999 JOX851999:JPL851999 JYT851999:JZH851999 KIP851999:KJD851999 KSL851999:KSZ851999 LCH851999:LCV851999 LMD851999:LMR851999 LVZ851999:LWN851999 MFV851999:MGJ851999 MPR851999:MQF851999 MZN851999:NAB851999 NJJ851999:NJX851999 NTF851999:NTT851999 ODB851999:ODP851999 OMX851999:ONL851999 OWT851999:OXH851999 PGP851999:PHD851999 PQL851999:PQZ851999 QAH851999:QAV851999 QKD851999:QKR851999 QTZ851999:QUN851999 RDV851999:REJ851999 RNR851999:ROF851999 RXN851999:RYB851999 SHJ851999:SHX851999 SRF851999:SRT851999 TBB851999:TBP851999 TKX851999:TLL851999 TUT851999:TVH851999 UEP851999:UFD851999 UOL851999:UOZ851999 UYH851999:UYV851999 VID851999:VIR851999 VRZ851999:VSN851999 WBV851999:WCJ851999 WLR851999:WMF851999 WVN851999:WWB851999 F917535:T917535 JB917535:JP917535 SX917535:TL917535 ACT917535:ADH917535 AMP917535:AND917535 AWL917535:AWZ917535 BGH917535:BGV917535 BQD917535:BQR917535 BZZ917535:CAN917535 CJV917535:CKJ917535 CTR917535:CUF917535 DDN917535:DEB917535 DNJ917535:DNX917535 DXF917535:DXT917535 EHB917535:EHP917535 EQX917535:ERL917535 FAT917535:FBH917535 FKP917535:FLD917535 FUL917535:FUZ917535 GEH917535:GEV917535 GOD917535:GOR917535 GXZ917535:GYN917535 HHV917535:HIJ917535 HRR917535:HSF917535 IBN917535:ICB917535 ILJ917535:ILX917535 IVF917535:IVT917535 JFB917535:JFP917535 JOX917535:JPL917535 JYT917535:JZH917535 KIP917535:KJD917535 KSL917535:KSZ917535 LCH917535:LCV917535 LMD917535:LMR917535 LVZ917535:LWN917535 MFV917535:MGJ917535 MPR917535:MQF917535 MZN917535:NAB917535 NJJ917535:NJX917535 NTF917535:NTT917535 ODB917535:ODP917535 OMX917535:ONL917535 OWT917535:OXH917535 PGP917535:PHD917535 PQL917535:PQZ917535 QAH917535:QAV917535 QKD917535:QKR917535 QTZ917535:QUN917535 RDV917535:REJ917535 RNR917535:ROF917535 RXN917535:RYB917535 SHJ917535:SHX917535 SRF917535:SRT917535 TBB917535:TBP917535 TKX917535:TLL917535 TUT917535:TVH917535 UEP917535:UFD917535 UOL917535:UOZ917535 UYH917535:UYV917535 VID917535:VIR917535 VRZ917535:VSN917535 WBV917535:WCJ917535 WLR917535:WMF917535 WVN917535:WWB917535 F983071:T983071 JB983071:JP983071 SX983071:TL983071 ACT983071:ADH983071 AMP983071:AND983071 AWL983071:AWZ983071 BGH983071:BGV983071 BQD983071:BQR983071 BZZ983071:CAN983071 CJV983071:CKJ983071 CTR983071:CUF983071 DDN983071:DEB983071 DNJ983071:DNX983071 DXF983071:DXT983071 EHB983071:EHP983071 EQX983071:ERL983071 FAT983071:FBH983071 FKP983071:FLD983071 FUL983071:FUZ983071 GEH983071:GEV983071 GOD983071:GOR983071 GXZ983071:GYN983071 HHV983071:HIJ983071 HRR983071:HSF983071 IBN983071:ICB983071 ILJ983071:ILX983071 IVF983071:IVT983071 JFB983071:JFP983071 JOX983071:JPL983071 JYT983071:JZH983071 KIP983071:KJD983071 KSL983071:KSZ983071 LCH983071:LCV983071 LMD983071:LMR983071 LVZ983071:LWN983071 MFV983071:MGJ983071 MPR983071:MQF983071 MZN983071:NAB983071 NJJ983071:NJX983071 NTF983071:NTT983071 ODB983071:ODP983071 OMX983071:ONL983071 OWT983071:OXH983071 PGP983071:PHD983071 PQL983071:PQZ983071 QAH983071:QAV983071 QKD983071:QKR983071 QTZ983071:QUN983071 RDV983071:REJ983071 RNR983071:ROF983071 RXN983071:RYB983071 SHJ983071:SHX983071 SRF983071:SRT983071 TBB983071:TBP983071 TKX983071:TLL983071 TUT983071:TVH983071 UEP983071:UFD983071 UOL983071:UOZ983071 UYH983071:UYV983071 VID983071:VIR983071 VRZ983071:VSN983071 WBV983071:WCJ983071 WLR983071:WMF983071 WVN983071:WWB983071" xr:uid="{C4746DDE-1E08-45ED-9216-A812963A5E07}">
      <formula1>"P,F, "</formula1>
    </dataValidation>
    <dataValidation type="list" allowBlank="1" showInputMessage="1" showErrorMessage="1" sqref="F30:T30 JB30:JP30 SX30:TL30 ACT30:ADH30 AMP30:AND30 AWL30:AWZ30 BGH30:BGV30 BQD30:BQR30 BZZ30:CAN30 CJV30:CKJ30 CTR30:CUF30 DDN30:DEB30 DNJ30:DNX30 DXF30:DXT30 EHB30:EHP30 EQX30:ERL30 FAT30:FBH30 FKP30:FLD30 FUL30:FUZ30 GEH30:GEV30 GOD30:GOR30 GXZ30:GYN30 HHV30:HIJ30 HRR30:HSF30 IBN30:ICB30 ILJ30:ILX30 IVF30:IVT30 JFB30:JFP30 JOX30:JPL30 JYT30:JZH30 KIP30:KJD30 KSL30:KSZ30 LCH30:LCV30 LMD30:LMR30 LVZ30:LWN30 MFV30:MGJ30 MPR30:MQF30 MZN30:NAB30 NJJ30:NJX30 NTF30:NTT30 ODB30:ODP30 OMX30:ONL30 OWT30:OXH30 PGP30:PHD30 PQL30:PQZ30 QAH30:QAV30 QKD30:QKR30 QTZ30:QUN30 RDV30:REJ30 RNR30:ROF30 RXN30:RYB30 SHJ30:SHX30 SRF30:SRT30 TBB30:TBP30 TKX30:TLL30 TUT30:TVH30 UEP30:UFD30 UOL30:UOZ30 UYH30:UYV30 VID30:VIR30 VRZ30:VSN30 WBV30:WCJ30 WLR30:WMF30 WVN30:WWB30 F65566:T65566 JB65566:JP65566 SX65566:TL65566 ACT65566:ADH65566 AMP65566:AND65566 AWL65566:AWZ65566 BGH65566:BGV65566 BQD65566:BQR65566 BZZ65566:CAN65566 CJV65566:CKJ65566 CTR65566:CUF65566 DDN65566:DEB65566 DNJ65566:DNX65566 DXF65566:DXT65566 EHB65566:EHP65566 EQX65566:ERL65566 FAT65566:FBH65566 FKP65566:FLD65566 FUL65566:FUZ65566 GEH65566:GEV65566 GOD65566:GOR65566 GXZ65566:GYN65566 HHV65566:HIJ65566 HRR65566:HSF65566 IBN65566:ICB65566 ILJ65566:ILX65566 IVF65566:IVT65566 JFB65566:JFP65566 JOX65566:JPL65566 JYT65566:JZH65566 KIP65566:KJD65566 KSL65566:KSZ65566 LCH65566:LCV65566 LMD65566:LMR65566 LVZ65566:LWN65566 MFV65566:MGJ65566 MPR65566:MQF65566 MZN65566:NAB65566 NJJ65566:NJX65566 NTF65566:NTT65566 ODB65566:ODP65566 OMX65566:ONL65566 OWT65566:OXH65566 PGP65566:PHD65566 PQL65566:PQZ65566 QAH65566:QAV65566 QKD65566:QKR65566 QTZ65566:QUN65566 RDV65566:REJ65566 RNR65566:ROF65566 RXN65566:RYB65566 SHJ65566:SHX65566 SRF65566:SRT65566 TBB65566:TBP65566 TKX65566:TLL65566 TUT65566:TVH65566 UEP65566:UFD65566 UOL65566:UOZ65566 UYH65566:UYV65566 VID65566:VIR65566 VRZ65566:VSN65566 WBV65566:WCJ65566 WLR65566:WMF65566 WVN65566:WWB65566 F131102:T131102 JB131102:JP131102 SX131102:TL131102 ACT131102:ADH131102 AMP131102:AND131102 AWL131102:AWZ131102 BGH131102:BGV131102 BQD131102:BQR131102 BZZ131102:CAN131102 CJV131102:CKJ131102 CTR131102:CUF131102 DDN131102:DEB131102 DNJ131102:DNX131102 DXF131102:DXT131102 EHB131102:EHP131102 EQX131102:ERL131102 FAT131102:FBH131102 FKP131102:FLD131102 FUL131102:FUZ131102 GEH131102:GEV131102 GOD131102:GOR131102 GXZ131102:GYN131102 HHV131102:HIJ131102 HRR131102:HSF131102 IBN131102:ICB131102 ILJ131102:ILX131102 IVF131102:IVT131102 JFB131102:JFP131102 JOX131102:JPL131102 JYT131102:JZH131102 KIP131102:KJD131102 KSL131102:KSZ131102 LCH131102:LCV131102 LMD131102:LMR131102 LVZ131102:LWN131102 MFV131102:MGJ131102 MPR131102:MQF131102 MZN131102:NAB131102 NJJ131102:NJX131102 NTF131102:NTT131102 ODB131102:ODP131102 OMX131102:ONL131102 OWT131102:OXH131102 PGP131102:PHD131102 PQL131102:PQZ131102 QAH131102:QAV131102 QKD131102:QKR131102 QTZ131102:QUN131102 RDV131102:REJ131102 RNR131102:ROF131102 RXN131102:RYB131102 SHJ131102:SHX131102 SRF131102:SRT131102 TBB131102:TBP131102 TKX131102:TLL131102 TUT131102:TVH131102 UEP131102:UFD131102 UOL131102:UOZ131102 UYH131102:UYV131102 VID131102:VIR131102 VRZ131102:VSN131102 WBV131102:WCJ131102 WLR131102:WMF131102 WVN131102:WWB131102 F196638:T196638 JB196638:JP196638 SX196638:TL196638 ACT196638:ADH196638 AMP196638:AND196638 AWL196638:AWZ196638 BGH196638:BGV196638 BQD196638:BQR196638 BZZ196638:CAN196638 CJV196638:CKJ196638 CTR196638:CUF196638 DDN196638:DEB196638 DNJ196638:DNX196638 DXF196638:DXT196638 EHB196638:EHP196638 EQX196638:ERL196638 FAT196638:FBH196638 FKP196638:FLD196638 FUL196638:FUZ196638 GEH196638:GEV196638 GOD196638:GOR196638 GXZ196638:GYN196638 HHV196638:HIJ196638 HRR196638:HSF196638 IBN196638:ICB196638 ILJ196638:ILX196638 IVF196638:IVT196638 JFB196638:JFP196638 JOX196638:JPL196638 JYT196638:JZH196638 KIP196638:KJD196638 KSL196638:KSZ196638 LCH196638:LCV196638 LMD196638:LMR196638 LVZ196638:LWN196638 MFV196638:MGJ196638 MPR196638:MQF196638 MZN196638:NAB196638 NJJ196638:NJX196638 NTF196638:NTT196638 ODB196638:ODP196638 OMX196638:ONL196638 OWT196638:OXH196638 PGP196638:PHD196638 PQL196638:PQZ196638 QAH196638:QAV196638 QKD196638:QKR196638 QTZ196638:QUN196638 RDV196638:REJ196638 RNR196638:ROF196638 RXN196638:RYB196638 SHJ196638:SHX196638 SRF196638:SRT196638 TBB196638:TBP196638 TKX196638:TLL196638 TUT196638:TVH196638 UEP196638:UFD196638 UOL196638:UOZ196638 UYH196638:UYV196638 VID196638:VIR196638 VRZ196638:VSN196638 WBV196638:WCJ196638 WLR196638:WMF196638 WVN196638:WWB196638 F262174:T262174 JB262174:JP262174 SX262174:TL262174 ACT262174:ADH262174 AMP262174:AND262174 AWL262174:AWZ262174 BGH262174:BGV262174 BQD262174:BQR262174 BZZ262174:CAN262174 CJV262174:CKJ262174 CTR262174:CUF262174 DDN262174:DEB262174 DNJ262174:DNX262174 DXF262174:DXT262174 EHB262174:EHP262174 EQX262174:ERL262174 FAT262174:FBH262174 FKP262174:FLD262174 FUL262174:FUZ262174 GEH262174:GEV262174 GOD262174:GOR262174 GXZ262174:GYN262174 HHV262174:HIJ262174 HRR262174:HSF262174 IBN262174:ICB262174 ILJ262174:ILX262174 IVF262174:IVT262174 JFB262174:JFP262174 JOX262174:JPL262174 JYT262174:JZH262174 KIP262174:KJD262174 KSL262174:KSZ262174 LCH262174:LCV262174 LMD262174:LMR262174 LVZ262174:LWN262174 MFV262174:MGJ262174 MPR262174:MQF262174 MZN262174:NAB262174 NJJ262174:NJX262174 NTF262174:NTT262174 ODB262174:ODP262174 OMX262174:ONL262174 OWT262174:OXH262174 PGP262174:PHD262174 PQL262174:PQZ262174 QAH262174:QAV262174 QKD262174:QKR262174 QTZ262174:QUN262174 RDV262174:REJ262174 RNR262174:ROF262174 RXN262174:RYB262174 SHJ262174:SHX262174 SRF262174:SRT262174 TBB262174:TBP262174 TKX262174:TLL262174 TUT262174:TVH262174 UEP262174:UFD262174 UOL262174:UOZ262174 UYH262174:UYV262174 VID262174:VIR262174 VRZ262174:VSN262174 WBV262174:WCJ262174 WLR262174:WMF262174 WVN262174:WWB262174 F327710:T327710 JB327710:JP327710 SX327710:TL327710 ACT327710:ADH327710 AMP327710:AND327710 AWL327710:AWZ327710 BGH327710:BGV327710 BQD327710:BQR327710 BZZ327710:CAN327710 CJV327710:CKJ327710 CTR327710:CUF327710 DDN327710:DEB327710 DNJ327710:DNX327710 DXF327710:DXT327710 EHB327710:EHP327710 EQX327710:ERL327710 FAT327710:FBH327710 FKP327710:FLD327710 FUL327710:FUZ327710 GEH327710:GEV327710 GOD327710:GOR327710 GXZ327710:GYN327710 HHV327710:HIJ327710 HRR327710:HSF327710 IBN327710:ICB327710 ILJ327710:ILX327710 IVF327710:IVT327710 JFB327710:JFP327710 JOX327710:JPL327710 JYT327710:JZH327710 KIP327710:KJD327710 KSL327710:KSZ327710 LCH327710:LCV327710 LMD327710:LMR327710 LVZ327710:LWN327710 MFV327710:MGJ327710 MPR327710:MQF327710 MZN327710:NAB327710 NJJ327710:NJX327710 NTF327710:NTT327710 ODB327710:ODP327710 OMX327710:ONL327710 OWT327710:OXH327710 PGP327710:PHD327710 PQL327710:PQZ327710 QAH327710:QAV327710 QKD327710:QKR327710 QTZ327710:QUN327710 RDV327710:REJ327710 RNR327710:ROF327710 RXN327710:RYB327710 SHJ327710:SHX327710 SRF327710:SRT327710 TBB327710:TBP327710 TKX327710:TLL327710 TUT327710:TVH327710 UEP327710:UFD327710 UOL327710:UOZ327710 UYH327710:UYV327710 VID327710:VIR327710 VRZ327710:VSN327710 WBV327710:WCJ327710 WLR327710:WMF327710 WVN327710:WWB327710 F393246:T393246 JB393246:JP393246 SX393246:TL393246 ACT393246:ADH393246 AMP393246:AND393246 AWL393246:AWZ393246 BGH393246:BGV393246 BQD393246:BQR393246 BZZ393246:CAN393246 CJV393246:CKJ393246 CTR393246:CUF393246 DDN393246:DEB393246 DNJ393246:DNX393246 DXF393246:DXT393246 EHB393246:EHP393246 EQX393246:ERL393246 FAT393246:FBH393246 FKP393246:FLD393246 FUL393246:FUZ393246 GEH393246:GEV393246 GOD393246:GOR393246 GXZ393246:GYN393246 HHV393246:HIJ393246 HRR393246:HSF393246 IBN393246:ICB393246 ILJ393246:ILX393246 IVF393246:IVT393246 JFB393246:JFP393246 JOX393246:JPL393246 JYT393246:JZH393246 KIP393246:KJD393246 KSL393246:KSZ393246 LCH393246:LCV393246 LMD393246:LMR393246 LVZ393246:LWN393246 MFV393246:MGJ393246 MPR393246:MQF393246 MZN393246:NAB393246 NJJ393246:NJX393246 NTF393246:NTT393246 ODB393246:ODP393246 OMX393246:ONL393246 OWT393246:OXH393246 PGP393246:PHD393246 PQL393246:PQZ393246 QAH393246:QAV393246 QKD393246:QKR393246 QTZ393246:QUN393246 RDV393246:REJ393246 RNR393246:ROF393246 RXN393246:RYB393246 SHJ393246:SHX393246 SRF393246:SRT393246 TBB393246:TBP393246 TKX393246:TLL393246 TUT393246:TVH393246 UEP393246:UFD393246 UOL393246:UOZ393246 UYH393246:UYV393246 VID393246:VIR393246 VRZ393246:VSN393246 WBV393246:WCJ393246 WLR393246:WMF393246 WVN393246:WWB393246 F458782:T458782 JB458782:JP458782 SX458782:TL458782 ACT458782:ADH458782 AMP458782:AND458782 AWL458782:AWZ458782 BGH458782:BGV458782 BQD458782:BQR458782 BZZ458782:CAN458782 CJV458782:CKJ458782 CTR458782:CUF458782 DDN458782:DEB458782 DNJ458782:DNX458782 DXF458782:DXT458782 EHB458782:EHP458782 EQX458782:ERL458782 FAT458782:FBH458782 FKP458782:FLD458782 FUL458782:FUZ458782 GEH458782:GEV458782 GOD458782:GOR458782 GXZ458782:GYN458782 HHV458782:HIJ458782 HRR458782:HSF458782 IBN458782:ICB458782 ILJ458782:ILX458782 IVF458782:IVT458782 JFB458782:JFP458782 JOX458782:JPL458782 JYT458782:JZH458782 KIP458782:KJD458782 KSL458782:KSZ458782 LCH458782:LCV458782 LMD458782:LMR458782 LVZ458782:LWN458782 MFV458782:MGJ458782 MPR458782:MQF458782 MZN458782:NAB458782 NJJ458782:NJX458782 NTF458782:NTT458782 ODB458782:ODP458782 OMX458782:ONL458782 OWT458782:OXH458782 PGP458782:PHD458782 PQL458782:PQZ458782 QAH458782:QAV458782 QKD458782:QKR458782 QTZ458782:QUN458782 RDV458782:REJ458782 RNR458782:ROF458782 RXN458782:RYB458782 SHJ458782:SHX458782 SRF458782:SRT458782 TBB458782:TBP458782 TKX458782:TLL458782 TUT458782:TVH458782 UEP458782:UFD458782 UOL458782:UOZ458782 UYH458782:UYV458782 VID458782:VIR458782 VRZ458782:VSN458782 WBV458782:WCJ458782 WLR458782:WMF458782 WVN458782:WWB458782 F524318:T524318 JB524318:JP524318 SX524318:TL524318 ACT524318:ADH524318 AMP524318:AND524318 AWL524318:AWZ524318 BGH524318:BGV524318 BQD524318:BQR524318 BZZ524318:CAN524318 CJV524318:CKJ524318 CTR524318:CUF524318 DDN524318:DEB524318 DNJ524318:DNX524318 DXF524318:DXT524318 EHB524318:EHP524318 EQX524318:ERL524318 FAT524318:FBH524318 FKP524318:FLD524318 FUL524318:FUZ524318 GEH524318:GEV524318 GOD524318:GOR524318 GXZ524318:GYN524318 HHV524318:HIJ524318 HRR524318:HSF524318 IBN524318:ICB524318 ILJ524318:ILX524318 IVF524318:IVT524318 JFB524318:JFP524318 JOX524318:JPL524318 JYT524318:JZH524318 KIP524318:KJD524318 KSL524318:KSZ524318 LCH524318:LCV524318 LMD524318:LMR524318 LVZ524318:LWN524318 MFV524318:MGJ524318 MPR524318:MQF524318 MZN524318:NAB524318 NJJ524318:NJX524318 NTF524318:NTT524318 ODB524318:ODP524318 OMX524318:ONL524318 OWT524318:OXH524318 PGP524318:PHD524318 PQL524318:PQZ524318 QAH524318:QAV524318 QKD524318:QKR524318 QTZ524318:QUN524318 RDV524318:REJ524318 RNR524318:ROF524318 RXN524318:RYB524318 SHJ524318:SHX524318 SRF524318:SRT524318 TBB524318:TBP524318 TKX524318:TLL524318 TUT524318:TVH524318 UEP524318:UFD524318 UOL524318:UOZ524318 UYH524318:UYV524318 VID524318:VIR524318 VRZ524318:VSN524318 WBV524318:WCJ524318 WLR524318:WMF524318 WVN524318:WWB524318 F589854:T589854 JB589854:JP589854 SX589854:TL589854 ACT589854:ADH589854 AMP589854:AND589854 AWL589854:AWZ589854 BGH589854:BGV589854 BQD589854:BQR589854 BZZ589854:CAN589854 CJV589854:CKJ589854 CTR589854:CUF589854 DDN589854:DEB589854 DNJ589854:DNX589854 DXF589854:DXT589854 EHB589854:EHP589854 EQX589854:ERL589854 FAT589854:FBH589854 FKP589854:FLD589854 FUL589854:FUZ589854 GEH589854:GEV589854 GOD589854:GOR589854 GXZ589854:GYN589854 HHV589854:HIJ589854 HRR589854:HSF589854 IBN589854:ICB589854 ILJ589854:ILX589854 IVF589854:IVT589854 JFB589854:JFP589854 JOX589854:JPL589854 JYT589854:JZH589854 KIP589854:KJD589854 KSL589854:KSZ589854 LCH589854:LCV589854 LMD589854:LMR589854 LVZ589854:LWN589854 MFV589854:MGJ589854 MPR589854:MQF589854 MZN589854:NAB589854 NJJ589854:NJX589854 NTF589854:NTT589854 ODB589854:ODP589854 OMX589854:ONL589854 OWT589854:OXH589854 PGP589854:PHD589854 PQL589854:PQZ589854 QAH589854:QAV589854 QKD589854:QKR589854 QTZ589854:QUN589854 RDV589854:REJ589854 RNR589854:ROF589854 RXN589854:RYB589854 SHJ589854:SHX589854 SRF589854:SRT589854 TBB589854:TBP589854 TKX589854:TLL589854 TUT589854:TVH589854 UEP589854:UFD589854 UOL589854:UOZ589854 UYH589854:UYV589854 VID589854:VIR589854 VRZ589854:VSN589854 WBV589854:WCJ589854 WLR589854:WMF589854 WVN589854:WWB589854 F655390:T655390 JB655390:JP655390 SX655390:TL655390 ACT655390:ADH655390 AMP655390:AND655390 AWL655390:AWZ655390 BGH655390:BGV655390 BQD655390:BQR655390 BZZ655390:CAN655390 CJV655390:CKJ655390 CTR655390:CUF655390 DDN655390:DEB655390 DNJ655390:DNX655390 DXF655390:DXT655390 EHB655390:EHP655390 EQX655390:ERL655390 FAT655390:FBH655390 FKP655390:FLD655390 FUL655390:FUZ655390 GEH655390:GEV655390 GOD655390:GOR655390 GXZ655390:GYN655390 HHV655390:HIJ655390 HRR655390:HSF655390 IBN655390:ICB655390 ILJ655390:ILX655390 IVF655390:IVT655390 JFB655390:JFP655390 JOX655390:JPL655390 JYT655390:JZH655390 KIP655390:KJD655390 KSL655390:KSZ655390 LCH655390:LCV655390 LMD655390:LMR655390 LVZ655390:LWN655390 MFV655390:MGJ655390 MPR655390:MQF655390 MZN655390:NAB655390 NJJ655390:NJX655390 NTF655390:NTT655390 ODB655390:ODP655390 OMX655390:ONL655390 OWT655390:OXH655390 PGP655390:PHD655390 PQL655390:PQZ655390 QAH655390:QAV655390 QKD655390:QKR655390 QTZ655390:QUN655390 RDV655390:REJ655390 RNR655390:ROF655390 RXN655390:RYB655390 SHJ655390:SHX655390 SRF655390:SRT655390 TBB655390:TBP655390 TKX655390:TLL655390 TUT655390:TVH655390 UEP655390:UFD655390 UOL655390:UOZ655390 UYH655390:UYV655390 VID655390:VIR655390 VRZ655390:VSN655390 WBV655390:WCJ655390 WLR655390:WMF655390 WVN655390:WWB655390 F720926:T720926 JB720926:JP720926 SX720926:TL720926 ACT720926:ADH720926 AMP720926:AND720926 AWL720926:AWZ720926 BGH720926:BGV720926 BQD720926:BQR720926 BZZ720926:CAN720926 CJV720926:CKJ720926 CTR720926:CUF720926 DDN720926:DEB720926 DNJ720926:DNX720926 DXF720926:DXT720926 EHB720926:EHP720926 EQX720926:ERL720926 FAT720926:FBH720926 FKP720926:FLD720926 FUL720926:FUZ720926 GEH720926:GEV720926 GOD720926:GOR720926 GXZ720926:GYN720926 HHV720926:HIJ720926 HRR720926:HSF720926 IBN720926:ICB720926 ILJ720926:ILX720926 IVF720926:IVT720926 JFB720926:JFP720926 JOX720926:JPL720926 JYT720926:JZH720926 KIP720926:KJD720926 KSL720926:KSZ720926 LCH720926:LCV720926 LMD720926:LMR720926 LVZ720926:LWN720926 MFV720926:MGJ720926 MPR720926:MQF720926 MZN720926:NAB720926 NJJ720926:NJX720926 NTF720926:NTT720926 ODB720926:ODP720926 OMX720926:ONL720926 OWT720926:OXH720926 PGP720926:PHD720926 PQL720926:PQZ720926 QAH720926:QAV720926 QKD720926:QKR720926 QTZ720926:QUN720926 RDV720926:REJ720926 RNR720926:ROF720926 RXN720926:RYB720926 SHJ720926:SHX720926 SRF720926:SRT720926 TBB720926:TBP720926 TKX720926:TLL720926 TUT720926:TVH720926 UEP720926:UFD720926 UOL720926:UOZ720926 UYH720926:UYV720926 VID720926:VIR720926 VRZ720926:VSN720926 WBV720926:WCJ720926 WLR720926:WMF720926 WVN720926:WWB720926 F786462:T786462 JB786462:JP786462 SX786462:TL786462 ACT786462:ADH786462 AMP786462:AND786462 AWL786462:AWZ786462 BGH786462:BGV786462 BQD786462:BQR786462 BZZ786462:CAN786462 CJV786462:CKJ786462 CTR786462:CUF786462 DDN786462:DEB786462 DNJ786462:DNX786462 DXF786462:DXT786462 EHB786462:EHP786462 EQX786462:ERL786462 FAT786462:FBH786462 FKP786462:FLD786462 FUL786462:FUZ786462 GEH786462:GEV786462 GOD786462:GOR786462 GXZ786462:GYN786462 HHV786462:HIJ786462 HRR786462:HSF786462 IBN786462:ICB786462 ILJ786462:ILX786462 IVF786462:IVT786462 JFB786462:JFP786462 JOX786462:JPL786462 JYT786462:JZH786462 KIP786462:KJD786462 KSL786462:KSZ786462 LCH786462:LCV786462 LMD786462:LMR786462 LVZ786462:LWN786462 MFV786462:MGJ786462 MPR786462:MQF786462 MZN786462:NAB786462 NJJ786462:NJX786462 NTF786462:NTT786462 ODB786462:ODP786462 OMX786462:ONL786462 OWT786462:OXH786462 PGP786462:PHD786462 PQL786462:PQZ786462 QAH786462:QAV786462 QKD786462:QKR786462 QTZ786462:QUN786462 RDV786462:REJ786462 RNR786462:ROF786462 RXN786462:RYB786462 SHJ786462:SHX786462 SRF786462:SRT786462 TBB786462:TBP786462 TKX786462:TLL786462 TUT786462:TVH786462 UEP786462:UFD786462 UOL786462:UOZ786462 UYH786462:UYV786462 VID786462:VIR786462 VRZ786462:VSN786462 WBV786462:WCJ786462 WLR786462:WMF786462 WVN786462:WWB786462 F851998:T851998 JB851998:JP851998 SX851998:TL851998 ACT851998:ADH851998 AMP851998:AND851998 AWL851998:AWZ851998 BGH851998:BGV851998 BQD851998:BQR851998 BZZ851998:CAN851998 CJV851998:CKJ851998 CTR851998:CUF851998 DDN851998:DEB851998 DNJ851998:DNX851998 DXF851998:DXT851998 EHB851998:EHP851998 EQX851998:ERL851998 FAT851998:FBH851998 FKP851998:FLD851998 FUL851998:FUZ851998 GEH851998:GEV851998 GOD851998:GOR851998 GXZ851998:GYN851998 HHV851998:HIJ851998 HRR851998:HSF851998 IBN851998:ICB851998 ILJ851998:ILX851998 IVF851998:IVT851998 JFB851998:JFP851998 JOX851998:JPL851998 JYT851998:JZH851998 KIP851998:KJD851998 KSL851998:KSZ851998 LCH851998:LCV851998 LMD851998:LMR851998 LVZ851998:LWN851998 MFV851998:MGJ851998 MPR851998:MQF851998 MZN851998:NAB851998 NJJ851998:NJX851998 NTF851998:NTT851998 ODB851998:ODP851998 OMX851998:ONL851998 OWT851998:OXH851998 PGP851998:PHD851998 PQL851998:PQZ851998 QAH851998:QAV851998 QKD851998:QKR851998 QTZ851998:QUN851998 RDV851998:REJ851998 RNR851998:ROF851998 RXN851998:RYB851998 SHJ851998:SHX851998 SRF851998:SRT851998 TBB851998:TBP851998 TKX851998:TLL851998 TUT851998:TVH851998 UEP851998:UFD851998 UOL851998:UOZ851998 UYH851998:UYV851998 VID851998:VIR851998 VRZ851998:VSN851998 WBV851998:WCJ851998 WLR851998:WMF851998 WVN851998:WWB851998 F917534:T917534 JB917534:JP917534 SX917534:TL917534 ACT917534:ADH917534 AMP917534:AND917534 AWL917534:AWZ917534 BGH917534:BGV917534 BQD917534:BQR917534 BZZ917534:CAN917534 CJV917534:CKJ917534 CTR917534:CUF917534 DDN917534:DEB917534 DNJ917534:DNX917534 DXF917534:DXT917534 EHB917534:EHP917534 EQX917534:ERL917534 FAT917534:FBH917534 FKP917534:FLD917534 FUL917534:FUZ917534 GEH917534:GEV917534 GOD917534:GOR917534 GXZ917534:GYN917534 HHV917534:HIJ917534 HRR917534:HSF917534 IBN917534:ICB917534 ILJ917534:ILX917534 IVF917534:IVT917534 JFB917534:JFP917534 JOX917534:JPL917534 JYT917534:JZH917534 KIP917534:KJD917534 KSL917534:KSZ917534 LCH917534:LCV917534 LMD917534:LMR917534 LVZ917534:LWN917534 MFV917534:MGJ917534 MPR917534:MQF917534 MZN917534:NAB917534 NJJ917534:NJX917534 NTF917534:NTT917534 ODB917534:ODP917534 OMX917534:ONL917534 OWT917534:OXH917534 PGP917534:PHD917534 PQL917534:PQZ917534 QAH917534:QAV917534 QKD917534:QKR917534 QTZ917534:QUN917534 RDV917534:REJ917534 RNR917534:ROF917534 RXN917534:RYB917534 SHJ917534:SHX917534 SRF917534:SRT917534 TBB917534:TBP917534 TKX917534:TLL917534 TUT917534:TVH917534 UEP917534:UFD917534 UOL917534:UOZ917534 UYH917534:UYV917534 VID917534:VIR917534 VRZ917534:VSN917534 WBV917534:WCJ917534 WLR917534:WMF917534 WVN917534:WWB917534 F983070:T983070 JB983070:JP983070 SX983070:TL983070 ACT983070:ADH983070 AMP983070:AND983070 AWL983070:AWZ983070 BGH983070:BGV983070 BQD983070:BQR983070 BZZ983070:CAN983070 CJV983070:CKJ983070 CTR983070:CUF983070 DDN983070:DEB983070 DNJ983070:DNX983070 DXF983070:DXT983070 EHB983070:EHP983070 EQX983070:ERL983070 FAT983070:FBH983070 FKP983070:FLD983070 FUL983070:FUZ983070 GEH983070:GEV983070 GOD983070:GOR983070 GXZ983070:GYN983070 HHV983070:HIJ983070 HRR983070:HSF983070 IBN983070:ICB983070 ILJ983070:ILX983070 IVF983070:IVT983070 JFB983070:JFP983070 JOX983070:JPL983070 JYT983070:JZH983070 KIP983070:KJD983070 KSL983070:KSZ983070 LCH983070:LCV983070 LMD983070:LMR983070 LVZ983070:LWN983070 MFV983070:MGJ983070 MPR983070:MQF983070 MZN983070:NAB983070 NJJ983070:NJX983070 NTF983070:NTT983070 ODB983070:ODP983070 OMX983070:ONL983070 OWT983070:OXH983070 PGP983070:PHD983070 PQL983070:PQZ983070 QAH983070:QAV983070 QKD983070:QKR983070 QTZ983070:QUN983070 RDV983070:REJ983070 RNR983070:ROF983070 RXN983070:RYB983070 SHJ983070:SHX983070 SRF983070:SRT983070 TBB983070:TBP983070 TKX983070:TLL983070 TUT983070:TVH983070 UEP983070:UFD983070 UOL983070:UOZ983070 UYH983070:UYV983070 VID983070:VIR983070 VRZ983070:VSN983070 WBV983070:WCJ983070 WLR983070:WMF983070 WVN983070:WWB983070" xr:uid="{375A5B9E-634E-43AE-8776-8E7C1DB66A10}">
      <formula1>"N,A,B, 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workbookViewId="0">
      <selection activeCell="V9" sqref="V9"/>
    </sheetView>
  </sheetViews>
  <sheetFormatPr defaultRowHeight="13.8"/>
  <cols>
    <col min="1" max="1" width="3.19921875" bestFit="1" customWidth="1"/>
    <col min="2" max="2" width="27.796875" bestFit="1" customWidth="1"/>
    <col min="3" max="3" width="1.796875" bestFit="1" customWidth="1"/>
    <col min="4" max="6" width="2.09765625" bestFit="1" customWidth="1"/>
    <col min="7" max="7" width="1.796875" bestFit="1" customWidth="1"/>
    <col min="8" max="8" width="1.69921875" bestFit="1" customWidth="1"/>
    <col min="9" max="14" width="2.296875" bestFit="1" customWidth="1"/>
    <col min="16" max="16" width="11.5" bestFit="1" customWidth="1"/>
    <col min="17" max="17" width="18.5" bestFit="1" customWidth="1"/>
    <col min="18" max="18" width="13.796875" bestFit="1" customWidth="1"/>
    <col min="19" max="19" width="4.296875" bestFit="1" customWidth="1"/>
  </cols>
  <sheetData>
    <row r="1" spans="1:19">
      <c r="A1" s="151" t="s">
        <v>29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P1" s="151" t="s">
        <v>30</v>
      </c>
      <c r="Q1" s="152"/>
      <c r="R1" s="152"/>
      <c r="S1" s="152"/>
    </row>
    <row r="3" spans="1:19">
      <c r="A3" s="148" t="s">
        <v>31</v>
      </c>
      <c r="B3" s="148" t="s">
        <v>14</v>
      </c>
      <c r="C3" s="148" t="s">
        <v>32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  <c r="P3" s="153" t="s">
        <v>33</v>
      </c>
      <c r="Q3" s="146" t="s">
        <v>34</v>
      </c>
      <c r="R3" s="146" t="s">
        <v>35</v>
      </c>
      <c r="S3" s="146" t="s">
        <v>32</v>
      </c>
    </row>
    <row r="4" spans="1:19">
      <c r="A4" s="147"/>
      <c r="B4" s="147"/>
      <c r="C4" s="65" t="s">
        <v>36</v>
      </c>
      <c r="D4" s="65" t="s">
        <v>36</v>
      </c>
      <c r="E4" s="65" t="s">
        <v>24</v>
      </c>
      <c r="F4" s="65" t="s">
        <v>24</v>
      </c>
      <c r="G4" s="65" t="s">
        <v>37</v>
      </c>
      <c r="H4" s="65" t="s">
        <v>19</v>
      </c>
      <c r="I4" s="65" t="s">
        <v>38</v>
      </c>
      <c r="J4" s="65" t="s">
        <v>38</v>
      </c>
      <c r="K4" s="65" t="s">
        <v>38</v>
      </c>
      <c r="L4" s="65" t="s">
        <v>38</v>
      </c>
      <c r="M4" s="65" t="s">
        <v>38</v>
      </c>
      <c r="N4" s="65" t="s">
        <v>38</v>
      </c>
      <c r="P4" s="147"/>
      <c r="Q4" s="147"/>
      <c r="R4" s="147"/>
      <c r="S4" s="147"/>
    </row>
    <row r="5" spans="1:19">
      <c r="A5" s="67"/>
      <c r="B5" s="66" t="s">
        <v>39</v>
      </c>
      <c r="C5" s="67" t="s">
        <v>36</v>
      </c>
      <c r="D5" s="67" t="s">
        <v>24</v>
      </c>
      <c r="E5" s="67" t="s">
        <v>36</v>
      </c>
      <c r="F5" s="67" t="s">
        <v>24</v>
      </c>
      <c r="G5" s="67"/>
      <c r="H5" s="67"/>
      <c r="I5" s="67"/>
      <c r="J5" s="67"/>
      <c r="K5" s="67"/>
      <c r="L5" s="67"/>
      <c r="M5" s="67"/>
      <c r="N5" s="67"/>
      <c r="P5" s="68">
        <v>1</v>
      </c>
      <c r="Q5" s="64"/>
      <c r="R5" s="64"/>
      <c r="S5" s="64"/>
    </row>
    <row r="6" spans="1:19">
      <c r="A6" s="64"/>
      <c r="B6" s="68" t="s">
        <v>40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P6" s="68">
        <v>2</v>
      </c>
      <c r="Q6" s="64"/>
      <c r="R6" s="64"/>
      <c r="S6" s="64"/>
    </row>
    <row r="7" spans="1:19">
      <c r="A7" s="64"/>
      <c r="B7" t="s">
        <v>93</v>
      </c>
      <c r="C7" s="64" t="s">
        <v>41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P7" s="68">
        <v>3</v>
      </c>
      <c r="Q7" s="64"/>
      <c r="R7" s="64"/>
      <c r="S7" s="64"/>
    </row>
    <row r="8" spans="1:19">
      <c r="A8" s="64"/>
      <c r="B8" t="s">
        <v>91</v>
      </c>
      <c r="C8" s="64"/>
      <c r="D8" s="64" t="s">
        <v>41</v>
      </c>
      <c r="E8" s="64"/>
      <c r="F8" s="64"/>
      <c r="G8" s="64"/>
      <c r="H8" s="64"/>
      <c r="I8" s="64"/>
      <c r="J8" s="64"/>
      <c r="K8" s="64"/>
      <c r="L8" s="64"/>
      <c r="M8" s="64"/>
      <c r="N8" s="64"/>
      <c r="P8" s="68">
        <v>4</v>
      </c>
      <c r="Q8" s="64"/>
      <c r="R8" s="64"/>
      <c r="S8" s="64"/>
    </row>
    <row r="9" spans="1:19">
      <c r="A9" s="64"/>
      <c r="B9" t="s">
        <v>92</v>
      </c>
      <c r="C9" s="64"/>
      <c r="D9" s="64"/>
      <c r="E9" s="64" t="s">
        <v>41</v>
      </c>
      <c r="F9" s="64" t="s">
        <v>41</v>
      </c>
      <c r="G9" s="64"/>
      <c r="H9" s="64"/>
      <c r="I9" s="64"/>
      <c r="J9" s="64"/>
      <c r="K9" s="64"/>
      <c r="L9" s="64"/>
      <c r="M9" s="64"/>
      <c r="N9" s="64"/>
      <c r="P9" s="68">
        <v>5</v>
      </c>
      <c r="Q9" s="64"/>
      <c r="R9" s="64"/>
      <c r="S9" s="64"/>
    </row>
    <row r="10" spans="1:19">
      <c r="A10" s="64"/>
      <c r="B10" s="68">
        <v>5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P10" s="68">
        <v>6</v>
      </c>
      <c r="Q10" s="64"/>
      <c r="R10" s="64"/>
      <c r="S10" s="64"/>
    </row>
    <row r="11" spans="1:19">
      <c r="A11" s="64"/>
      <c r="B11" s="68">
        <v>6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P11" s="68">
        <v>7</v>
      </c>
      <c r="Q11" s="64"/>
      <c r="R11" s="64"/>
      <c r="S11" s="64"/>
    </row>
    <row r="12" spans="1:19">
      <c r="A12" s="64"/>
      <c r="B12" s="68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P12" s="68">
        <v>8</v>
      </c>
      <c r="Q12" s="64"/>
      <c r="R12" s="64"/>
      <c r="S12" s="64"/>
    </row>
    <row r="13" spans="1:19">
      <c r="A13" s="64"/>
      <c r="B13" s="68">
        <v>8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P13" s="68">
        <v>9</v>
      </c>
      <c r="Q13" s="64"/>
      <c r="R13" s="64"/>
      <c r="S13" s="64"/>
    </row>
    <row r="14" spans="1:19">
      <c r="A14" s="64"/>
      <c r="B14" s="68">
        <v>9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P14" s="68">
        <v>10</v>
      </c>
      <c r="Q14" s="64"/>
      <c r="R14" s="64"/>
      <c r="S14" s="64"/>
    </row>
    <row r="15" spans="1:19">
      <c r="A15" s="64"/>
      <c r="B15" s="68">
        <v>10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P15" s="68">
        <v>11</v>
      </c>
      <c r="Q15" s="64"/>
      <c r="R15" s="64"/>
      <c r="S15" s="64"/>
    </row>
    <row r="16" spans="1:19">
      <c r="A16" s="64"/>
      <c r="B16" s="68">
        <v>11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P16" s="68">
        <v>12</v>
      </c>
      <c r="Q16" s="64"/>
      <c r="R16" s="64"/>
      <c r="S16" s="64"/>
    </row>
    <row r="17" spans="1:19">
      <c r="A17" s="64"/>
      <c r="B17" s="68">
        <v>12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P17" s="68">
        <v>13</v>
      </c>
      <c r="Q17" s="64"/>
      <c r="R17" s="64"/>
      <c r="S17" s="64"/>
    </row>
    <row r="18" spans="1:19">
      <c r="A18" s="64"/>
      <c r="B18" s="68" t="s">
        <v>38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P18" s="68">
        <v>14</v>
      </c>
      <c r="Q18" s="64"/>
      <c r="R18" s="64"/>
      <c r="S18" s="64"/>
    </row>
    <row r="19" spans="1:19">
      <c r="A19" s="67"/>
      <c r="B19" s="66" t="s">
        <v>42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P19" s="68">
        <v>15</v>
      </c>
      <c r="Q19" s="64"/>
      <c r="R19" s="64"/>
      <c r="S19" s="64"/>
    </row>
    <row r="20" spans="1:19">
      <c r="A20" s="64"/>
      <c r="B20" s="69">
        <v>1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P20" s="68">
        <v>16</v>
      </c>
      <c r="Q20" s="64"/>
      <c r="R20" s="64"/>
      <c r="S20" s="64"/>
    </row>
    <row r="21" spans="1:19">
      <c r="A21" s="64"/>
      <c r="B21" s="69">
        <v>2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P21" s="68">
        <v>17</v>
      </c>
      <c r="Q21" s="64"/>
      <c r="R21" s="64"/>
      <c r="S21" s="64"/>
    </row>
    <row r="22" spans="1:19">
      <c r="A22" s="64"/>
      <c r="B22" s="69">
        <v>3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P22" s="68">
        <v>18</v>
      </c>
      <c r="Q22" s="64"/>
      <c r="R22" s="64"/>
      <c r="S22" s="64"/>
    </row>
    <row r="23" spans="1:19">
      <c r="A23" s="64"/>
      <c r="B23" s="69" t="s">
        <v>38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P23" s="68" t="s">
        <v>38</v>
      </c>
      <c r="Q23" s="64"/>
      <c r="R23" s="64"/>
      <c r="S23" s="64"/>
    </row>
  </sheetData>
  <mergeCells count="9">
    <mergeCell ref="S3:S4"/>
    <mergeCell ref="C3:N3"/>
    <mergeCell ref="P1:S1"/>
    <mergeCell ref="A1:N1"/>
    <mergeCell ref="B3:B4"/>
    <mergeCell ref="A3:A4"/>
    <mergeCell ref="P3:P4"/>
    <mergeCell ref="Q3:Q4"/>
    <mergeCell ref="R3:R4"/>
  </mergeCells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tabSelected="1" workbookViewId="0">
      <selection activeCell="G6" sqref="G6"/>
    </sheetView>
  </sheetViews>
  <sheetFormatPr defaultColWidth="9" defaultRowHeight="10.199999999999999"/>
  <cols>
    <col min="1" max="1" width="15.296875" style="74" bestFit="1" customWidth="1"/>
    <col min="2" max="2" width="28.19921875" style="74" bestFit="1" customWidth="1"/>
    <col min="3" max="3" width="25.59765625" style="74" bestFit="1" customWidth="1"/>
    <col min="4" max="4" width="36.3984375" style="74" bestFit="1" customWidth="1"/>
    <col min="5" max="5" width="29.69921875" style="74" bestFit="1" customWidth="1"/>
    <col min="6" max="6" width="9" style="74" bestFit="1" customWidth="1"/>
    <col min="7" max="7" width="8.59765625" style="74" bestFit="1" customWidth="1"/>
    <col min="8" max="8" width="7.8984375" style="74" bestFit="1" customWidth="1"/>
    <col min="9" max="9" width="10.8984375" style="74" bestFit="1" customWidth="1"/>
    <col min="10" max="10" width="9" style="74" customWidth="1"/>
    <col min="11" max="16384" width="9" style="74"/>
  </cols>
  <sheetData>
    <row r="1" spans="1:9" ht="14.4" customHeight="1">
      <c r="A1" s="70" t="s">
        <v>43</v>
      </c>
      <c r="B1" s="70" t="s">
        <v>44</v>
      </c>
      <c r="C1" s="70"/>
      <c r="D1" s="71" t="str">
        <f>"Pass: "&amp;COUNTIF($G$6:$G$1011,"Pass")</f>
        <v>Pass: 2</v>
      </c>
      <c r="E1" s="72" t="str">
        <f>"Untested: "&amp;COUNTIF($G$6:$G$1011,"Untest")</f>
        <v>Untested: 0</v>
      </c>
      <c r="F1" s="73"/>
    </row>
    <row r="2" spans="1:9" ht="14.4" customHeight="1">
      <c r="A2" s="75" t="s">
        <v>45</v>
      </c>
      <c r="B2" s="76"/>
      <c r="C2" s="76"/>
      <c r="D2" s="71" t="str">
        <f>"Fail: "&amp;COUNTIF($G$6:$G$1011,"Fail")</f>
        <v>Fail: 0</v>
      </c>
      <c r="E2" s="72" t="str">
        <f>"N/A: "&amp;COUNTIF($G$6:$G$1011,"N/A")</f>
        <v>N/A: 0</v>
      </c>
      <c r="F2" s="73"/>
    </row>
    <row r="3" spans="1:9" ht="14.4" customHeight="1">
      <c r="A3" s="75" t="s">
        <v>46</v>
      </c>
      <c r="B3" s="75" t="s">
        <v>97</v>
      </c>
      <c r="C3" s="75"/>
      <c r="D3" s="71" t="str">
        <f>"Percent Complete: "&amp;ROUND((COUNTIF($G$6:$G$1011,"Pass")*100)/((COUNTA($A$6:$A$1011)*5)-COUNTIF($G$5:$G$1021,"N/A")),2)&amp;"%"</f>
        <v>Percent Complete: 20%</v>
      </c>
      <c r="E3" s="77" t="str">
        <f>"Number of cases: "&amp;(COUNTA($A$5:$A$1011))</f>
        <v>Number of cases: 3</v>
      </c>
      <c r="F3" s="78"/>
    </row>
    <row r="4" spans="1:9" ht="30.6" customHeight="1">
      <c r="A4" s="79" t="s">
        <v>47</v>
      </c>
      <c r="B4" s="79" t="s">
        <v>48</v>
      </c>
      <c r="C4" s="79" t="s">
        <v>49</v>
      </c>
      <c r="D4" s="79" t="s">
        <v>50</v>
      </c>
      <c r="E4" s="79" t="s">
        <v>51</v>
      </c>
      <c r="F4" s="80" t="s">
        <v>52</v>
      </c>
      <c r="G4" s="79" t="s">
        <v>53</v>
      </c>
      <c r="H4" s="79" t="s">
        <v>54</v>
      </c>
      <c r="I4" s="79" t="s">
        <v>55</v>
      </c>
    </row>
    <row r="5" spans="1:9" ht="30.6" customHeight="1">
      <c r="A5" s="81" t="str">
        <f>IF(OR(B5&lt;&gt;"",E5&lt;&gt;""),"["&amp;TEXT($B$2,"#")&amp;"-"&amp;TEXT(ROW()-4,"##")&amp;"]","")</f>
        <v>[-1]</v>
      </c>
      <c r="B5" s="82" t="s">
        <v>56</v>
      </c>
      <c r="C5" s="82" t="s">
        <v>57</v>
      </c>
      <c r="D5" s="83" t="s">
        <v>58</v>
      </c>
      <c r="E5" s="83" t="s">
        <v>59</v>
      </c>
      <c r="F5" s="83"/>
      <c r="G5" s="82" t="s">
        <v>60</v>
      </c>
      <c r="H5" s="84">
        <v>40825</v>
      </c>
      <c r="I5" s="85" t="s">
        <v>61</v>
      </c>
    </row>
    <row r="6" spans="1:9" ht="71.400000000000006" customHeight="1">
      <c r="A6" s="85" t="str">
        <f>IF(OR(B6&lt;&gt;"",E6&lt;&gt;""),"["&amp;TEXT($B$2,"#")&amp;"-"&amp;TEXT(ROW()-4,"##")&amp;"]","")</f>
        <v>[-2]</v>
      </c>
      <c r="B6" s="85" t="s">
        <v>62</v>
      </c>
      <c r="C6" s="86" t="s">
        <v>57</v>
      </c>
      <c r="D6" s="86" t="s">
        <v>63</v>
      </c>
      <c r="E6" s="86" t="s">
        <v>64</v>
      </c>
      <c r="F6" s="83" t="s">
        <v>65</v>
      </c>
      <c r="G6" s="85" t="s">
        <v>60</v>
      </c>
      <c r="H6" s="90">
        <v>40825</v>
      </c>
      <c r="I6" s="85" t="s">
        <v>66</v>
      </c>
    </row>
    <row r="7" spans="1:9" ht="61.2">
      <c r="A7" s="85" t="str">
        <f>IF(OR(B5&lt;&gt;"",E5&lt;&gt;""),"["&amp;TEXT($B$2,"#")&amp;"-"&amp;TEXT(ROW()-4,"##")&amp;"]","")</f>
        <v>[-3]</v>
      </c>
      <c r="B7" s="85" t="s">
        <v>67</v>
      </c>
      <c r="C7" s="86" t="s">
        <v>68</v>
      </c>
      <c r="D7" s="86" t="s">
        <v>69</v>
      </c>
      <c r="E7" s="86" t="s">
        <v>70</v>
      </c>
      <c r="F7" s="83" t="s">
        <v>71</v>
      </c>
      <c r="G7" s="85" t="s">
        <v>60</v>
      </c>
      <c r="H7" s="91"/>
      <c r="I7" s="85"/>
    </row>
    <row r="8" spans="1:9">
      <c r="A8" s="81"/>
      <c r="B8" s="86"/>
      <c r="C8" s="83"/>
      <c r="D8" s="86"/>
      <c r="E8" s="86"/>
      <c r="F8" s="83"/>
      <c r="G8" s="82"/>
      <c r="H8" s="84"/>
      <c r="I8" s="85"/>
    </row>
    <row r="9" spans="1:9">
      <c r="A9" s="81"/>
      <c r="B9" s="86"/>
      <c r="C9" s="83"/>
      <c r="D9" s="86"/>
      <c r="E9" s="86"/>
      <c r="F9" s="83"/>
      <c r="G9" s="82"/>
      <c r="H9" s="84"/>
      <c r="I9" s="85"/>
    </row>
    <row r="10" spans="1:9">
      <c r="A10" s="81"/>
      <c r="B10" s="86"/>
      <c r="C10" s="83"/>
      <c r="D10" s="86"/>
      <c r="E10" s="86"/>
      <c r="F10" s="83"/>
      <c r="G10" s="82"/>
      <c r="H10" s="84"/>
      <c r="I10" s="85"/>
    </row>
    <row r="11" spans="1:9">
      <c r="A11" s="81"/>
      <c r="B11" s="86"/>
      <c r="C11" s="83"/>
      <c r="D11" s="86"/>
      <c r="E11" s="86"/>
      <c r="F11" s="83"/>
      <c r="G11" s="82"/>
      <c r="H11" s="84"/>
      <c r="I11" s="85"/>
    </row>
    <row r="12" spans="1:9">
      <c r="A12" s="81"/>
      <c r="B12" s="86"/>
      <c r="C12" s="83"/>
      <c r="D12" s="86"/>
      <c r="E12" s="86"/>
      <c r="F12" s="83"/>
      <c r="G12" s="82"/>
      <c r="H12" s="84"/>
      <c r="I12" s="85"/>
    </row>
    <row r="13" spans="1:9">
      <c r="A13" s="81"/>
      <c r="B13" s="86"/>
      <c r="C13" s="83"/>
      <c r="D13" s="86"/>
      <c r="E13" s="86"/>
      <c r="F13" s="87"/>
      <c r="G13" s="82"/>
      <c r="H13" s="84"/>
      <c r="I13" s="85"/>
    </row>
    <row r="14" spans="1:9">
      <c r="A14" s="81"/>
      <c r="B14" s="86"/>
      <c r="C14" s="83"/>
      <c r="D14" s="86"/>
      <c r="E14" s="86"/>
      <c r="F14" s="87"/>
      <c r="G14" s="82"/>
      <c r="H14" s="84"/>
      <c r="I14" s="85"/>
    </row>
    <row r="15" spans="1:9">
      <c r="A15" s="81"/>
      <c r="B15" s="86"/>
      <c r="C15" s="83"/>
      <c r="D15" s="86"/>
      <c r="E15" s="86"/>
      <c r="F15" s="87"/>
      <c r="G15" s="82"/>
      <c r="H15" s="84"/>
      <c r="I15" s="85"/>
    </row>
    <row r="16" spans="1:9">
      <c r="A16" s="81"/>
      <c r="B16" s="86"/>
      <c r="C16" s="83"/>
      <c r="D16" s="86"/>
      <c r="E16" s="86"/>
      <c r="F16" s="81"/>
      <c r="G16" s="82"/>
      <c r="H16" s="84"/>
      <c r="I16" s="85"/>
    </row>
    <row r="17" spans="1:9">
      <c r="A17" s="81"/>
      <c r="B17" s="86"/>
      <c r="C17" s="83"/>
      <c r="D17" s="86"/>
      <c r="E17" s="86"/>
      <c r="F17" s="81"/>
      <c r="G17" s="82"/>
      <c r="H17" s="84"/>
      <c r="I17" s="85"/>
    </row>
    <row r="18" spans="1:9">
      <c r="A18" s="81"/>
      <c r="B18" s="86"/>
      <c r="C18" s="83"/>
      <c r="D18" s="86"/>
      <c r="E18" s="86"/>
      <c r="F18" s="87"/>
      <c r="G18" s="82"/>
      <c r="H18" s="84"/>
      <c r="I18" s="85"/>
    </row>
    <row r="19" spans="1:9">
      <c r="A19" s="81"/>
      <c r="B19" s="86"/>
      <c r="C19" s="83"/>
      <c r="D19" s="86"/>
      <c r="E19" s="86"/>
      <c r="F19" s="81"/>
      <c r="G19" s="82"/>
      <c r="H19" s="84"/>
      <c r="I19" s="85"/>
    </row>
    <row r="20" spans="1:9">
      <c r="A20" s="81"/>
      <c r="B20" s="86"/>
      <c r="C20" s="83"/>
      <c r="D20" s="86"/>
      <c r="E20" s="86"/>
      <c r="F20" s="87"/>
      <c r="G20" s="82"/>
      <c r="H20" s="84"/>
      <c r="I20" s="85"/>
    </row>
    <row r="21" spans="1:9">
      <c r="A21" s="81"/>
      <c r="B21" s="86"/>
      <c r="C21" s="83"/>
      <c r="D21" s="86"/>
      <c r="E21" s="86"/>
      <c r="F21" s="87"/>
      <c r="G21" s="82"/>
      <c r="H21" s="84"/>
      <c r="I21" s="85"/>
    </row>
    <row r="22" spans="1:9">
      <c r="A22" s="81"/>
      <c r="B22" s="87"/>
      <c r="C22" s="82"/>
      <c r="D22" s="88"/>
      <c r="E22" s="87"/>
      <c r="F22" s="87"/>
      <c r="G22" s="82"/>
      <c r="H22" s="84"/>
      <c r="I22" s="85"/>
    </row>
    <row r="23" spans="1:9">
      <c r="A23" s="81"/>
      <c r="B23" s="87"/>
      <c r="C23" s="82"/>
      <c r="D23" s="88"/>
      <c r="E23" s="87"/>
      <c r="F23" s="87"/>
      <c r="G23" s="82"/>
      <c r="H23" s="84"/>
      <c r="I23" s="85"/>
    </row>
    <row r="24" spans="1:9">
      <c r="A24" s="81"/>
      <c r="B24" s="87"/>
      <c r="C24" s="82"/>
      <c r="D24" s="87"/>
      <c r="E24" s="87"/>
      <c r="F24" s="87"/>
      <c r="G24" s="82"/>
      <c r="H24" s="84"/>
      <c r="I24" s="85"/>
    </row>
    <row r="25" spans="1:9">
      <c r="A25" s="89"/>
      <c r="B25" s="89"/>
      <c r="C25" s="89"/>
      <c r="D25" s="89"/>
      <c r="E25" s="89"/>
      <c r="F25" s="87"/>
      <c r="G25" s="82"/>
      <c r="H25" s="84"/>
      <c r="I25" s="85"/>
    </row>
    <row r="26" spans="1:9">
      <c r="A26" s="89"/>
      <c r="B26" s="89"/>
      <c r="C26" s="89"/>
      <c r="D26" s="89"/>
      <c r="E26" s="89"/>
      <c r="F26" s="87"/>
      <c r="G26" s="82"/>
      <c r="H26" s="84"/>
      <c r="I26" s="85"/>
    </row>
    <row r="27" spans="1:9">
      <c r="A27" s="87"/>
      <c r="B27" s="87"/>
      <c r="C27" s="87"/>
      <c r="D27" s="87"/>
      <c r="E27" s="87"/>
      <c r="F27" s="87"/>
      <c r="G27" s="82"/>
      <c r="H27" s="84"/>
      <c r="I27" s="85"/>
    </row>
    <row r="28" spans="1:9">
      <c r="A28" s="81"/>
      <c r="B28" s="81"/>
      <c r="C28" s="81"/>
      <c r="D28" s="81"/>
      <c r="E28" s="87"/>
      <c r="F28" s="87"/>
      <c r="G28" s="82"/>
      <c r="H28" s="84"/>
      <c r="I28" s="85"/>
    </row>
    <row r="29" spans="1:9">
      <c r="A29" s="87"/>
      <c r="B29" s="87"/>
      <c r="C29" s="87"/>
      <c r="D29" s="87"/>
      <c r="E29" s="87"/>
      <c r="F29" s="87"/>
      <c r="G29" s="82"/>
      <c r="H29" s="84"/>
      <c r="I29" s="85"/>
    </row>
    <row r="30" spans="1:9">
      <c r="A30" s="87"/>
      <c r="B30" s="87"/>
      <c r="C30" s="87"/>
      <c r="D30" s="87"/>
      <c r="E30" s="87"/>
      <c r="G30" s="82"/>
      <c r="H30" s="84"/>
      <c r="I30" s="85"/>
    </row>
    <row r="31" spans="1:9">
      <c r="A31" s="87"/>
      <c r="B31" s="87"/>
      <c r="C31" s="87"/>
      <c r="D31" s="87"/>
      <c r="E31" s="87"/>
      <c r="G31" s="82"/>
      <c r="H31" s="84"/>
      <c r="I31" s="85"/>
    </row>
    <row r="32" spans="1:9">
      <c r="A32" s="87"/>
      <c r="B32" s="154"/>
      <c r="C32" s="88"/>
      <c r="D32" s="87"/>
      <c r="E32" s="87"/>
      <c r="G32" s="82"/>
      <c r="H32" s="84"/>
      <c r="I32" s="85"/>
    </row>
    <row r="33" spans="1:9">
      <c r="A33" s="87"/>
      <c r="B33" s="155"/>
      <c r="C33" s="87"/>
      <c r="D33" s="88"/>
      <c r="E33" s="87"/>
      <c r="G33" s="82"/>
      <c r="H33" s="84"/>
      <c r="I33" s="85"/>
    </row>
    <row r="34" spans="1:9">
      <c r="A34" s="87"/>
      <c r="B34" s="155"/>
      <c r="C34" s="87"/>
      <c r="D34" s="88"/>
      <c r="E34" s="87"/>
      <c r="G34" s="82"/>
      <c r="H34" s="84"/>
      <c r="I34" s="85"/>
    </row>
    <row r="35" spans="1:9">
      <c r="A35" s="87"/>
      <c r="B35" s="155"/>
      <c r="C35" s="87"/>
      <c r="D35" s="88"/>
      <c r="E35" s="87"/>
      <c r="G35" s="82"/>
      <c r="H35" s="84"/>
      <c r="I35" s="85"/>
    </row>
    <row r="36" spans="1:9">
      <c r="A36" s="87"/>
      <c r="B36" s="155"/>
      <c r="C36" s="87"/>
      <c r="D36" s="88"/>
      <c r="E36" s="87"/>
      <c r="G36" s="82"/>
      <c r="H36" s="84"/>
      <c r="I36" s="85"/>
    </row>
    <row r="37" spans="1:9">
      <c r="A37" s="87"/>
      <c r="B37" s="156"/>
      <c r="C37" s="87"/>
      <c r="D37" s="88"/>
      <c r="E37" s="87"/>
      <c r="G37" s="82"/>
      <c r="H37" s="84"/>
      <c r="I37" s="85"/>
    </row>
  </sheetData>
  <mergeCells count="1">
    <mergeCell ref="B32:B37"/>
  </mergeCells>
  <dataValidations count="1">
    <dataValidation type="list" operator="equal" allowBlank="1" sqref="G5:G37" xr:uid="{00000000-0002-0000-0200-000000000000}">
      <formula1>"Pass,Fail,Untest,N/A"</formula1>
    </dataValidation>
  </dataValidations>
  <hyperlinks>
    <hyperlink ref="A1" location="'Test report'!A1" display="Back to TestReport" xr:uid="{00000000-0004-0000-0200-000000000000}"/>
    <hyperlink ref="B1" location="BugList!A1" display="To Buglist" xr:uid="{00000000-0004-0000-0200-000001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test-case</vt:lpstr>
      <vt:lpstr>Decision table and tc</vt:lpstr>
      <vt:lpstr>System test-case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Acs Toàn</cp:lastModifiedBy>
  <dcterms:created xsi:type="dcterms:W3CDTF">2023-02-26T13:32:36Z</dcterms:created>
  <dcterms:modified xsi:type="dcterms:W3CDTF">2025-06-10T08:32:04Z</dcterms:modified>
</cp:coreProperties>
</file>