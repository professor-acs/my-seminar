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heckCompatibility="1"/>
  <mc:AlternateContent xmlns:mc="http://schemas.openxmlformats.org/markup-compatibility/2006">
    <mc:Choice Requires="x15">
      <x15ac:absPath xmlns:x15ac="http://schemas.microsoft.com/office/spreadsheetml/2010/11/ac" url="C:\Users\Acs Toan\Documents\SWT301 - Software Testing\"/>
    </mc:Choice>
  </mc:AlternateContent>
  <xr:revisionPtr revIDLastSave="0" documentId="13_ncr:1_{6F62E03B-6A51-4ACF-8B6E-D36AAC311BF4}" xr6:coauthVersionLast="47" xr6:coauthVersionMax="47" xr10:uidLastSave="{00000000-0000-0000-0000-000000000000}"/>
  <bookViews>
    <workbookView xWindow="384" yWindow="384" windowWidth="14388" windowHeight="12540" tabRatio="821" activeTab="3" xr2:uid="{00000000-000D-0000-FFFF-FFFF00000000}"/>
  </bookViews>
  <sheets>
    <sheet name="Cover" sheetId="1" r:id="rId1"/>
    <sheet name="Test case List" sheetId="2" r:id="rId2"/>
    <sheet name="Module1" sheetId="9" r:id="rId3"/>
    <sheet name="Module2" sheetId="4" r:id="rId4"/>
    <sheet name="Module3" sheetId="6" r:id="rId5"/>
    <sheet name="Test Report" sheetId="5" r:id="rId6"/>
  </sheets>
  <definedNames>
    <definedName name="_xlnm._FilterDatabase" localSheetId="2" hidden="1">Module1!$A$8:$H$14</definedName>
    <definedName name="_xlnm._FilterDatabase" localSheetId="3" hidden="1">Module2!$A$8:$H$14</definedName>
    <definedName name="_xlnm._FilterDatabase" localSheetId="4" hidden="1">Module3!$A$8:$H$13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5" l="1"/>
  <c r="C5" i="5"/>
  <c r="C13" i="5" l="1"/>
  <c r="F13" i="5"/>
  <c r="G13" i="5"/>
  <c r="H13" i="5"/>
  <c r="C12" i="5"/>
  <c r="A10" i="9"/>
  <c r="A14" i="9"/>
  <c r="A13" i="9"/>
  <c r="A12" i="9"/>
  <c r="A11" i="9"/>
  <c r="D6" i="9"/>
  <c r="G11" i="5" s="1"/>
  <c r="B6" i="9"/>
  <c r="E11" i="5" s="1"/>
  <c r="A6" i="9"/>
  <c r="D11" i="5" s="1"/>
  <c r="A12" i="4"/>
  <c r="C6" i="1"/>
  <c r="A13" i="6"/>
  <c r="A12" i="6"/>
  <c r="A11" i="6"/>
  <c r="A10" i="6"/>
  <c r="A9" i="6"/>
  <c r="D6" i="6"/>
  <c r="B6" i="6"/>
  <c r="E13" i="5" s="1"/>
  <c r="A6" i="6"/>
  <c r="D13" i="5" s="1"/>
  <c r="A6" i="4"/>
  <c r="D12" i="5" s="1"/>
  <c r="B6" i="4"/>
  <c r="E12" i="5" s="1"/>
  <c r="A10" i="4"/>
  <c r="A11" i="4"/>
  <c r="A13" i="4"/>
  <c r="A14" i="4"/>
  <c r="D6" i="4"/>
  <c r="G12" i="5" s="1"/>
  <c r="D14" i="5" l="1"/>
  <c r="E14" i="5"/>
  <c r="E6" i="9"/>
  <c r="E6" i="6"/>
  <c r="C6" i="6" s="1"/>
  <c r="E6" i="4"/>
  <c r="H12" i="5" s="1"/>
  <c r="G14" i="5"/>
  <c r="C6" i="9" l="1"/>
  <c r="F11" i="5" s="1"/>
  <c r="H11" i="5"/>
  <c r="C6" i="4"/>
  <c r="F12" i="5" s="1"/>
  <c r="H14" i="5"/>
  <c r="E16" i="5" s="1"/>
  <c r="E17" i="5" l="1"/>
  <c r="F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b/>
            <sz val="10"/>
            <color indexed="8"/>
            <rFont val="Times New Roman"/>
            <family val="1"/>
          </rPr>
          <t>*A</t>
        </r>
        <r>
          <rPr>
            <sz val="10"/>
            <color indexed="8"/>
            <rFont val="Times New Roman"/>
            <family val="1"/>
          </rPr>
          <t xml:space="preserve">: Add
  </t>
        </r>
        <r>
          <rPr>
            <b/>
            <sz val="10"/>
            <color indexed="8"/>
            <rFont val="Times New Roman"/>
            <family val="1"/>
          </rPr>
          <t>M</t>
        </r>
        <r>
          <rPr>
            <sz val="10"/>
            <color indexed="8"/>
            <rFont val="Times New Roman"/>
            <family val="1"/>
          </rPr>
          <t xml:space="preserve">: Modify
  </t>
        </r>
        <r>
          <rPr>
            <b/>
            <sz val="10"/>
            <color indexed="8"/>
            <rFont val="Times New Roman"/>
            <family val="1"/>
          </rPr>
          <t>D</t>
        </r>
        <r>
          <rPr>
            <sz val="10"/>
            <color indexed="8"/>
            <rFont val="Times New Roman"/>
            <family val="1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200-000001000000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300-000001000000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400-000001000000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<sst xmlns="http://schemas.openxmlformats.org/spreadsheetml/2006/main" count="215" uniqueCount="121">
  <si>
    <t>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</si>
  <si>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</si>
  <si>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</si>
  <si>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</si>
  <si>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</si>
  <si>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</si>
  <si>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</si>
  <si>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</si>
  <si>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</si>
  <si>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</si>
  <si>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</si>
  <si>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</si>
  <si>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</si>
  <si>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</si>
  <si>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</si>
  <si>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</si>
  <si>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</si>
  <si>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</si>
  <si>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</si>
  <si>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</si>
  <si>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</si>
  <si>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Module1</t>
  </si>
  <si>
    <t>Function D</t>
  </si>
  <si>
    <t>Module2</t>
  </si>
  <si>
    <t>Module Code</t>
  </si>
  <si>
    <t>Pass</t>
  </si>
  <si>
    <t>Test requirement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</si>
  <si>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</si>
  <si>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</si>
  <si>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</si>
  <si>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</si>
  <si>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</si>
  <si>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</si>
  <si>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</si>
  <si>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</si>
  <si>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</si>
  <si>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</si>
  <si>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</si>
  <si>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</si>
  <si>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</si>
  <si>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</si>
  <si>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TEST REPORT</t>
  </si>
  <si>
    <t>Notes</t>
  </si>
  <si>
    <t>Module code</t>
  </si>
  <si>
    <t>Number of  test cases</t>
  </si>
  <si>
    <t>Sub total</t>
  </si>
  <si>
    <t>Test coverage</t>
  </si>
  <si>
    <t>%</t>
  </si>
  <si>
    <t>Test successful coverage</t>
  </si>
  <si>
    <t>DateTimeChecker</t>
  </si>
  <si>
    <t>FU-SWT</t>
  </si>
  <si>
    <t>&lt;List environment requires in this system&gt;
1. Operating System: Windows XP SP2 or higher
2. Framework: .NET Framework 2.0 or higher
3. Hardware: CPU Pentium IV or higher, RAM 512MB or higher
4. Development Tool: Visual Studio 2022</t>
  </si>
  <si>
    <t>Application is running, valid input is provided.</t>
  </si>
  <si>
    <t>Module3</t>
  </si>
  <si>
    <t>0.1</t>
  </si>
  <si>
    <t>Initial Version</t>
  </si>
  <si>
    <t>A</t>
  </si>
  <si>
    <t>Initial creation of test case document for DateTimeChecker.</t>
  </si>
  <si>
    <t>ProjectIntroduction.docx, Lab1-WringTestCase.docx</t>
  </si>
  <si>
    <t>Group 9</t>
  </si>
  <si>
    <t>TRUCNTT19</t>
  </si>
  <si>
    <r>
      <t xml:space="preserve">&lt;Describe results which meet customer's requirement&gt;
</t>
    </r>
    <r>
      <rPr>
        <sz val="10"/>
        <color indexed="8"/>
        <rFont val="Tahoma"/>
        <family val="2"/>
      </rPr>
      <t>The FU logo should be displayed at the top-left corner of the form.</t>
    </r>
  </si>
  <si>
    <r>
      <t xml:space="preserve">&lt;List all test cases or condition that must be done before performing this case&gt;
</t>
    </r>
    <r>
      <rPr>
        <sz val="10"/>
        <color theme="1"/>
        <rFont val="Tahoma"/>
        <family val="2"/>
      </rPr>
      <t>Application must be installed and running on a compatible system (Windows XP SP2+, .NET Framework 2.0+, CPU Pentium IV+, RAM 512MB+)</t>
    </r>
    <r>
      <rPr>
        <sz val="10"/>
        <color indexed="17"/>
        <rFont val="Tahoma"/>
        <family val="2"/>
      </rPr>
      <t>.</t>
    </r>
  </si>
  <si>
    <t>Verify the application title "Date Time Checker" has correct formatting.</t>
  </si>
  <si>
    <t>The title text should be "Date Time Checker", font color should be Blue, font name should be Arial, font size should be 26.</t>
  </si>
  <si>
    <t>Application must be installed and running on a compatible system.</t>
  </si>
  <si>
    <t>Verify the "Day" label is left-aligned.</t>
  </si>
  <si>
    <t>The "Day" label should be left-aligned.</t>
  </si>
  <si>
    <t>Application must be running, GUI must be displayed.</t>
  </si>
  <si>
    <t>Verify the "Month" label is left-aligned.</t>
  </si>
  <si>
    <t>The "Month" label should be left-aligned.</t>
  </si>
  <si>
    <t>Verify the "Year" label is left-aligned.</t>
  </si>
  <si>
    <t>The "Year" label should be left-aligned.</t>
  </si>
  <si>
    <t>Verify the graphical user interface layout of the DateTimeChecker application.</t>
  </si>
  <si>
    <t>1. Launch the Date Time Checker application. 
2. Check the title text properties.</t>
  </si>
  <si>
    <t>1. Launch the Date Time Checker application. 
2. Check the alignment of the "Day" label.</t>
  </si>
  <si>
    <t>1. Launch the Date Time Checker application. 
2. Check the alignment of the "Month" label.</t>
  </si>
  <si>
    <t>1. Launch the Date Time Checker application. 
2. Check the alignment of the "Year" label.</t>
  </si>
  <si>
    <t>Verify valid day input at lower boundary (1).</t>
  </si>
  <si>
    <t>No error message for day validation.</t>
  </si>
  <si>
    <t>Verify valid day input at upper boundary (31).</t>
  </si>
  <si>
    <t>Verify invalid day input below range (0).</t>
  </si>
  <si>
    <t>An error message should appear indicating "Day is out of range".</t>
  </si>
  <si>
    <t>Verify invalid day input with non-numeric characters.</t>
  </si>
  <si>
    <t>An error message should appear indicating "Day must be a number".</t>
  </si>
  <si>
    <t>1. Enter "31" in the Day textbox. 
2. Enter "1" in the Month textbox. 
3. Enter "2000" in the Year textbox. 
4. Click the Check button.</t>
  </si>
  <si>
    <t>1. Enter "0" in the Day textbox. 
2. Click the Check button.</t>
  </si>
  <si>
    <t>1. Enter "abc" in the Day textbox. 
2. Click the Check button.</t>
  </si>
  <si>
    <t>Application must be running, valid input must be provided.</t>
  </si>
  <si>
    <t>Verify valid month input at upper boundary (12).</t>
  </si>
  <si>
    <t>No error message for month validation.</t>
  </si>
  <si>
    <t>1. Enter "1" in the Day textbox. 
2. Enter "1" in the Month textbox. 
3. Enter "2000" in the Year textbox. 
4. Click the Check button.</t>
  </si>
  <si>
    <t>1. Enter "15" in the Day textbox. 
2. Enter "12" in the Month textbox. 
3. Enter "2000" in the Year textbox. 
4. Click the Check button.</t>
  </si>
  <si>
    <t>Verify the input validation for Day, Month, and Year fields in the DateTimeChecker application.</t>
  </si>
  <si>
    <t>Verify the date-time checking algorithm for valid and invalid dates in the DateTimeChecker application.</t>
  </si>
  <si>
    <t>&lt;List modules included in this release&gt; ex: Release 1 includes 2 modules: Module1, Module2 and Module 3</t>
  </si>
  <si>
    <t>Account Creation Management</t>
  </si>
  <si>
    <t>Test the account creation function with valid and invalid data</t>
  </si>
  <si>
    <t>Application is running, database is connected</t>
  </si>
  <si>
    <t>Information Update Management</t>
  </si>
  <si>
    <t>Test the account details update function</t>
  </si>
  <si>
    <t>Application is running, a test account exists in the system.</t>
  </si>
  <si>
    <t>Password Management</t>
  </si>
  <si>
    <t>Test the user password change function</t>
  </si>
  <si>
    <t>Verify successful password change with valid information.</t>
  </si>
  <si>
    <t>1. Get a valid accountId. 
2. Send a POST request to the change password endpoint. 
3. Provide the correct currentPassword, a newPassword, and a matching confirmPassword."</t>
  </si>
  <si>
    <t>- API returns HTTP status 200 OK. 
- The account's password in the DB is updated and encrypted with the new password.</t>
  </si>
  <si>
    <t>Verify failed password change when currentPassword is incorrect.</t>
  </si>
  <si>
    <t>1. Get a valid accountId. 
2. Send a POST request with an incorrect currentPassword.</t>
  </si>
  <si>
    <t>- API returns HTTP status 400 Bad Request. 
- Response body contains the error ""Current password is incorrect"". 
- The password is not changed.</t>
  </si>
  <si>
    <t>Verify failed password change when newPassword and confirmPassword do not match</t>
  </si>
  <si>
    <t>1. Get a valid accountId. 
2. Send a POST request with different newPassword and confirmPassword.</t>
  </si>
  <si>
    <t>- API returns HTTP status 400 Bad Request. 
- Response body contains the error "New password and confirm password do not match"</t>
  </si>
  <si>
    <t>Verify failed password change when newPassword is the same as currentPassword</t>
  </si>
  <si>
    <t>1. Get a valid accountId. 
2. Send a POST request with newPassword identical to currentPassword.</t>
  </si>
  <si>
    <t>- API returns HTTP status 400 Bad Request. 
- Response body contains the error "New password must be different from current password".</t>
  </si>
  <si>
    <t>Verify failed password change with a non-existent accountId</t>
  </si>
  <si>
    <t>1. Use a non-existent accountId. 
2. Send a POST request to change the password.</t>
  </si>
  <si>
    <t>- API returns HTTP status 404 Not Found. 
- Response body contains the error "Account not found".</t>
  </si>
  <si>
    <t>Verify successful account creation with valid data.</t>
  </si>
  <si>
    <t>1. Send a POST request to the account creation endpoint. 
2. Provide a non-existent username, a valid password, a valid roleId, and other information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</si>
</sst>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5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2"/>
      <color indexed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b/>
      <sz val="8"/>
      <color indexed="8"/>
      <name val="Times New Roman"/>
      <family val="1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charset val="128"/>
    </font>
    <font>
      <b/>
      <u/>
      <sz val="11"/>
      <color indexed="12"/>
      <name val="ＭＳ Ｐゴシック"/>
    </font>
    <font>
      <sz val="10"/>
      <color indexed="17"/>
      <name val="Tahoma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</fills>
  <borders count="3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14" fillId="0" borderId="0" applyNumberFormat="0" applyFill="0" applyBorder="0" applyAlignment="0" applyProtection="0"/>
    <xf numFmtId="0" fontId="20" fillId="0" borderId="0"/>
    <xf numFmtId="0" fontId="20" fillId="0" borderId="0"/>
    <xf numFmtId="0" fontId="1" fillId="0" borderId="0"/>
  </cellStyleXfs>
  <cellXfs count="15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indent="1"/>
    </xf>
    <xf numFmtId="0" fontId="7" fillId="0" borderId="0" xfId="0" applyFont="1" applyAlignment="1">
      <alignment horizontal="left" indent="1"/>
    </xf>
    <xf numFmtId="0" fontId="2" fillId="2" borderId="0" xfId="0" applyFont="1" applyFill="1"/>
    <xf numFmtId="0" fontId="6" fillId="2" borderId="2" xfId="0" applyFont="1" applyFill="1" applyBorder="1" applyAlignment="1">
      <alignment horizontal="left"/>
    </xf>
    <xf numFmtId="0" fontId="2" fillId="0" borderId="3" xfId="0" applyFont="1" applyBorder="1" applyAlignment="1"/>
    <xf numFmtId="0" fontId="6" fillId="2" borderId="2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indent="1"/>
    </xf>
    <xf numFmtId="0" fontId="6" fillId="2" borderId="0" xfId="0" applyFont="1" applyFill="1" applyBorder="1"/>
    <xf numFmtId="0" fontId="7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2" borderId="0" xfId="0" applyFont="1" applyFill="1" applyBorder="1" applyAlignment="1">
      <alignment horizontal="left" indent="1"/>
    </xf>
    <xf numFmtId="0" fontId="7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 indent="1"/>
    </xf>
    <xf numFmtId="0" fontId="2" fillId="0" borderId="0" xfId="0" applyFont="1" applyBorder="1"/>
    <xf numFmtId="0" fontId="6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49" fontId="2" fillId="0" borderId="8" xfId="0" applyNumberFormat="1" applyFont="1" applyBorder="1" applyAlignment="1">
      <alignment vertical="top"/>
    </xf>
    <xf numFmtId="0" fontId="2" fillId="0" borderId="8" xfId="0" applyFont="1" applyBorder="1" applyAlignment="1">
      <alignment vertical="top"/>
    </xf>
    <xf numFmtId="164" fontId="2" fillId="0" borderId="7" xfId="0" applyNumberFormat="1" applyFont="1" applyBorder="1" applyAlignment="1">
      <alignment vertical="top"/>
    </xf>
    <xf numFmtId="0" fontId="2" fillId="0" borderId="9" xfId="0" applyFont="1" applyBorder="1" applyAlignment="1">
      <alignment vertical="top"/>
    </xf>
    <xf numFmtId="164" fontId="2" fillId="0" borderId="10" xfId="0" applyNumberFormat="1" applyFont="1" applyBorder="1" applyAlignment="1">
      <alignment vertical="top"/>
    </xf>
    <xf numFmtId="49" fontId="2" fillId="0" borderId="11" xfId="0" applyNumberFormat="1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5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6" fillId="2" borderId="0" xfId="0" applyNumberFormat="1" applyFont="1" applyFill="1" applyBorder="1" applyAlignment="1"/>
    <xf numFmtId="0" fontId="2" fillId="2" borderId="0" xfId="0" applyFont="1" applyFill="1" applyBorder="1" applyAlignment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/>
    </xf>
    <xf numFmtId="1" fontId="8" fillId="4" borderId="4" xfId="0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1" fontId="2" fillId="2" borderId="10" xfId="0" applyNumberFormat="1" applyFont="1" applyFill="1" applyBorder="1" applyAlignment="1">
      <alignment vertical="center"/>
    </xf>
    <xf numFmtId="49" fontId="2" fillId="2" borderId="11" xfId="0" applyNumberFormat="1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15" fillId="2" borderId="0" xfId="0" applyFont="1" applyFill="1"/>
    <xf numFmtId="0" fontId="16" fillId="2" borderId="14" xfId="0" applyFont="1" applyFill="1" applyBorder="1" applyAlignment="1"/>
    <xf numFmtId="0" fontId="16" fillId="2" borderId="14" xfId="0" applyFont="1" applyFill="1" applyBorder="1" applyAlignment="1">
      <alignment wrapText="1"/>
    </xf>
    <xf numFmtId="0" fontId="2" fillId="2" borderId="14" xfId="0" applyFont="1" applyFill="1" applyBorder="1" applyAlignment="1">
      <alignment wrapText="1"/>
    </xf>
    <xf numFmtId="0" fontId="13" fillId="2" borderId="0" xfId="0" applyFont="1" applyFill="1" applyAlignment="1" applyProtection="1">
      <alignment wrapText="1"/>
    </xf>
    <xf numFmtId="0" fontId="15" fillId="2" borderId="0" xfId="0" applyFont="1" applyFill="1" applyAlignment="1">
      <alignment wrapText="1"/>
    </xf>
    <xf numFmtId="0" fontId="16" fillId="2" borderId="0" xfId="0" applyFont="1" applyFill="1" applyAlignment="1"/>
    <xf numFmtId="0" fontId="13" fillId="2" borderId="15" xfId="3" applyFont="1" applyFill="1" applyBorder="1" applyAlignment="1">
      <alignment horizontal="left" wrapText="1"/>
    </xf>
    <xf numFmtId="0" fontId="2" fillId="2" borderId="0" xfId="0" applyFont="1" applyFill="1" applyAlignment="1" applyProtection="1">
      <alignment wrapText="1"/>
    </xf>
    <xf numFmtId="0" fontId="13" fillId="2" borderId="16" xfId="3" applyFont="1" applyFill="1" applyBorder="1" applyAlignment="1">
      <alignment horizontal="left" wrapText="1"/>
    </xf>
    <xf numFmtId="0" fontId="11" fillId="2" borderId="0" xfId="0" applyFont="1" applyFill="1" applyAlignment="1"/>
    <xf numFmtId="0" fontId="11" fillId="2" borderId="16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15" fillId="2" borderId="0" xfId="0" applyFont="1" applyFill="1" applyBorder="1" applyAlignment="1">
      <alignment horizont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wrapText="1"/>
    </xf>
    <xf numFmtId="0" fontId="8" fillId="3" borderId="2" xfId="3" applyFont="1" applyFill="1" applyBorder="1" applyAlignment="1">
      <alignment horizontal="center" vertical="center" wrapText="1"/>
    </xf>
    <xf numFmtId="0" fontId="8" fillId="3" borderId="19" xfId="3" applyFont="1" applyFill="1" applyBorder="1" applyAlignment="1">
      <alignment horizontal="center" vertical="center" wrapText="1"/>
    </xf>
    <xf numFmtId="0" fontId="12" fillId="2" borderId="0" xfId="3" applyFont="1" applyFill="1" applyBorder="1" applyAlignment="1">
      <alignment horizontal="center" vertical="center" wrapText="1"/>
    </xf>
    <xf numFmtId="0" fontId="13" fillId="5" borderId="1" xfId="3" applyFont="1" applyFill="1" applyBorder="1" applyAlignment="1">
      <alignment horizontal="left" vertical="center"/>
    </xf>
    <xf numFmtId="0" fontId="13" fillId="5" borderId="20" xfId="3" applyFont="1" applyFill="1" applyBorder="1" applyAlignment="1">
      <alignment horizontal="left" vertical="center"/>
    </xf>
    <xf numFmtId="0" fontId="13" fillId="5" borderId="3" xfId="3" applyFont="1" applyFill="1" applyBorder="1" applyAlignment="1">
      <alignment horizontal="left" vertical="center"/>
    </xf>
    <xf numFmtId="0" fontId="12" fillId="2" borderId="0" xfId="3" applyFont="1" applyFill="1" applyBorder="1" applyAlignment="1">
      <alignment horizontal="left" vertical="center"/>
    </xf>
    <xf numFmtId="0" fontId="2" fillId="2" borderId="2" xfId="3" applyFont="1" applyFill="1" applyBorder="1" applyAlignment="1">
      <alignment vertical="top" wrapText="1"/>
    </xf>
    <xf numFmtId="0" fontId="15" fillId="2" borderId="0" xfId="0" applyFont="1" applyFill="1" applyBorder="1" applyAlignment="1">
      <alignment vertical="top" wrapText="1"/>
    </xf>
    <xf numFmtId="0" fontId="16" fillId="2" borderId="0" xfId="0" applyFont="1" applyFill="1" applyAlignment="1">
      <alignment vertical="top"/>
    </xf>
    <xf numFmtId="0" fontId="2" fillId="2" borderId="2" xfId="0" applyFont="1" applyFill="1" applyBorder="1" applyAlignment="1"/>
    <xf numFmtId="0" fontId="2" fillId="2" borderId="2" xfId="0" applyFont="1" applyFill="1" applyBorder="1"/>
    <xf numFmtId="0" fontId="15" fillId="2" borderId="0" xfId="0" applyFont="1" applyFill="1" applyBorder="1"/>
    <xf numFmtId="0" fontId="16" fillId="2" borderId="2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vertical="top" wrapText="1"/>
    </xf>
    <xf numFmtId="0" fontId="13" fillId="0" borderId="22" xfId="3" applyFont="1" applyFill="1" applyBorder="1" applyAlignment="1">
      <alignment horizontal="left" vertical="center"/>
    </xf>
    <xf numFmtId="0" fontId="2" fillId="2" borderId="0" xfId="3" applyFont="1" applyFill="1" applyBorder="1" applyAlignment="1">
      <alignment vertical="top" wrapText="1"/>
    </xf>
    <xf numFmtId="0" fontId="13" fillId="2" borderId="0" xfId="2" applyFont="1" applyFill="1" applyBorder="1"/>
    <xf numFmtId="0" fontId="2" fillId="2" borderId="0" xfId="2" applyFont="1" applyFill="1" applyBorder="1"/>
    <xf numFmtId="164" fontId="2" fillId="2" borderId="0" xfId="2" applyNumberFormat="1" applyFont="1" applyFill="1" applyBorder="1"/>
    <xf numFmtId="0" fontId="6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vertical="top"/>
    </xf>
    <xf numFmtId="0" fontId="6" fillId="2" borderId="2" xfId="0" applyFont="1" applyFill="1" applyBorder="1" applyAlignment="1">
      <alignment vertical="center"/>
    </xf>
    <xf numFmtId="0" fontId="6" fillId="2" borderId="0" xfId="0" applyFont="1" applyFill="1"/>
    <xf numFmtId="0" fontId="7" fillId="2" borderId="0" xfId="2" applyFont="1" applyFill="1" applyBorder="1"/>
    <xf numFmtId="0" fontId="2" fillId="2" borderId="0" xfId="0" applyFont="1" applyFill="1" applyBorder="1"/>
    <xf numFmtId="0" fontId="2" fillId="2" borderId="23" xfId="0" applyFont="1" applyFill="1" applyBorder="1" applyAlignment="1"/>
    <xf numFmtId="0" fontId="8" fillId="3" borderId="24" xfId="0" applyNumberFormat="1" applyFont="1" applyFill="1" applyBorder="1" applyAlignment="1">
      <alignment horizontal="center"/>
    </xf>
    <xf numFmtId="0" fontId="8" fillId="3" borderId="5" xfId="0" applyNumberFormat="1" applyFont="1" applyFill="1" applyBorder="1" applyAlignment="1">
      <alignment horizontal="center"/>
    </xf>
    <xf numFmtId="0" fontId="8" fillId="3" borderId="5" xfId="0" applyNumberFormat="1" applyFont="1" applyFill="1" applyBorder="1" applyAlignment="1">
      <alignment horizontal="center" wrapText="1"/>
    </xf>
    <xf numFmtId="0" fontId="8" fillId="3" borderId="13" xfId="0" applyNumberFormat="1" applyFont="1" applyFill="1" applyBorder="1" applyAlignment="1">
      <alignment horizontal="center"/>
    </xf>
    <xf numFmtId="0" fontId="8" fillId="3" borderId="25" xfId="0" applyNumberFormat="1" applyFont="1" applyFill="1" applyBorder="1" applyAlignment="1">
      <alignment horizontal="center" wrapText="1"/>
    </xf>
    <xf numFmtId="0" fontId="2" fillId="2" borderId="23" xfId="0" applyFont="1" applyFill="1" applyBorder="1"/>
    <xf numFmtId="0" fontId="2" fillId="2" borderId="26" xfId="0" applyNumberFormat="1" applyFont="1" applyFill="1" applyBorder="1" applyAlignment="1">
      <alignment horizontal="center"/>
    </xf>
    <xf numFmtId="0" fontId="2" fillId="2" borderId="8" xfId="0" applyNumberFormat="1" applyFont="1" applyFill="1" applyBorder="1"/>
    <xf numFmtId="0" fontId="2" fillId="2" borderId="8" xfId="0" applyNumberFormat="1" applyFont="1" applyFill="1" applyBorder="1" applyAlignment="1">
      <alignment horizontal="center"/>
    </xf>
    <xf numFmtId="0" fontId="2" fillId="2" borderId="27" xfId="0" applyNumberFormat="1" applyFont="1" applyFill="1" applyBorder="1" applyAlignment="1">
      <alignment horizontal="center"/>
    </xf>
    <xf numFmtId="0" fontId="2" fillId="2" borderId="28" xfId="0" applyNumberFormat="1" applyFont="1" applyFill="1" applyBorder="1" applyAlignment="1">
      <alignment horizontal="center"/>
    </xf>
    <xf numFmtId="0" fontId="18" fillId="3" borderId="29" xfId="0" applyNumberFormat="1" applyFont="1" applyFill="1" applyBorder="1" applyAlignment="1">
      <alignment horizontal="center"/>
    </xf>
    <xf numFmtId="0" fontId="8" fillId="3" borderId="11" xfId="0" applyFont="1" applyFill="1" applyBorder="1"/>
    <xf numFmtId="0" fontId="18" fillId="3" borderId="11" xfId="0" applyFont="1" applyFill="1" applyBorder="1" applyAlignment="1">
      <alignment horizontal="center"/>
    </xf>
    <xf numFmtId="0" fontId="18" fillId="3" borderId="3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0" fontId="2" fillId="2" borderId="0" xfId="0" applyNumberFormat="1" applyFont="1" applyFill="1" applyBorder="1" applyAlignment="1">
      <alignment horizontal="center"/>
    </xf>
    <xf numFmtId="9" fontId="2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left"/>
    </xf>
    <xf numFmtId="2" fontId="19" fillId="2" borderId="0" xfId="0" applyNumberFormat="1" applyFont="1" applyFill="1" applyBorder="1" applyAlignment="1">
      <alignment horizontal="right" wrapText="1"/>
    </xf>
    <xf numFmtId="1" fontId="21" fillId="2" borderId="7" xfId="1" applyNumberFormat="1" applyFont="1" applyFill="1" applyBorder="1" applyAlignment="1">
      <alignment vertical="center"/>
    </xf>
    <xf numFmtId="14" fontId="7" fillId="0" borderId="7" xfId="0" applyNumberFormat="1" applyFont="1" applyBorder="1" applyAlignment="1">
      <alignment vertical="top" wrapText="1"/>
    </xf>
    <xf numFmtId="14" fontId="7" fillId="0" borderId="3" xfId="0" applyNumberFormat="1" applyFont="1" applyBorder="1" applyAlignment="1">
      <alignment horizontal="left" indent="1"/>
    </xf>
    <xf numFmtId="0" fontId="24" fillId="0" borderId="0" xfId="0" applyFont="1"/>
    <xf numFmtId="0" fontId="24" fillId="0" borderId="0" xfId="0" applyFont="1" applyAlignment="1">
      <alignment wrapText="1"/>
    </xf>
    <xf numFmtId="14" fontId="7" fillId="2" borderId="3" xfId="0" applyNumberFormat="1" applyFont="1" applyFill="1" applyBorder="1" applyAlignment="1">
      <alignment vertical="top"/>
    </xf>
    <xf numFmtId="0" fontId="24" fillId="0" borderId="0" xfId="0" quotePrefix="1" applyFont="1" applyAlignment="1">
      <alignment wrapText="1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" fontId="6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top" wrapText="1"/>
    </xf>
    <xf numFmtId="1" fontId="6" fillId="2" borderId="1" xfId="0" applyNumberFormat="1" applyFont="1" applyFill="1" applyBorder="1" applyAlignment="1"/>
    <xf numFmtId="0" fontId="7" fillId="2" borderId="2" xfId="0" applyFont="1" applyFill="1" applyBorder="1" applyAlignment="1">
      <alignment horizontal="left"/>
    </xf>
    <xf numFmtId="0" fontId="7" fillId="2" borderId="32" xfId="3" applyFont="1" applyFill="1" applyBorder="1" applyAlignment="1">
      <alignment horizontal="left" wrapText="1"/>
    </xf>
    <xf numFmtId="0" fontId="7" fillId="2" borderId="33" xfId="3" applyFont="1" applyFill="1" applyBorder="1" applyAlignment="1">
      <alignment horizontal="left" wrapText="1"/>
    </xf>
    <xf numFmtId="0" fontId="11" fillId="2" borderId="32" xfId="0" applyFont="1" applyFill="1" applyBorder="1" applyAlignment="1">
      <alignment horizontal="center" vertical="center" wrapText="1"/>
    </xf>
    <xf numFmtId="0" fontId="16" fillId="2" borderId="3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/>
    </xf>
    <xf numFmtId="0" fontId="7" fillId="2" borderId="2" xfId="2" applyFont="1" applyFill="1" applyBorder="1" applyAlignment="1">
      <alignment vertical="top"/>
    </xf>
    <xf numFmtId="0" fontId="5" fillId="2" borderId="0" xfId="2" applyFont="1" applyFill="1" applyBorder="1" applyAlignment="1">
      <alignment horizontal="center"/>
    </xf>
    <xf numFmtId="49" fontId="2" fillId="2" borderId="2" xfId="3" applyNumberFormat="1" applyFont="1" applyFill="1" applyBorder="1" applyAlignment="1">
      <alignment vertical="top" wrapText="1"/>
    </xf>
    <xf numFmtId="49" fontId="7" fillId="2" borderId="2" xfId="0" applyNumberFormat="1" applyFont="1" applyFill="1" applyBorder="1" applyAlignment="1">
      <alignment horizontal="left" vertical="top" wrapText="1"/>
    </xf>
    <xf numFmtId="49" fontId="16" fillId="2" borderId="2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/>
    <xf numFmtId="49" fontId="2" fillId="2" borderId="2" xfId="0" applyNumberFormat="1" applyFont="1" applyFill="1" applyBorder="1"/>
  </cellXfs>
  <cellStyles count="5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1</xdr:row>
      <xdr:rowOff>127000</xdr:rowOff>
    </xdr:from>
    <xdr:to>
      <xdr:col>1</xdr:col>
      <xdr:colOff>1219200</xdr:colOff>
      <xdr:row>1</xdr:row>
      <xdr:rowOff>850900</xdr:rowOff>
    </xdr:to>
    <xdr:pic>
      <xdr:nvPicPr>
        <xdr:cNvPr id="1030" name="Picture 2">
          <a:extLst>
            <a:ext uri="{FF2B5EF4-FFF2-40B4-BE49-F238E27FC236}">
              <a16:creationId xmlns:a16="http://schemas.microsoft.com/office/drawing/2014/main" id="{DC3E3157-7A91-4A30-A5C2-D5478F642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285750"/>
          <a:ext cx="11557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8"/>
  <sheetViews>
    <sheetView workbookViewId="0">
      <selection activeCell="C4" sqref="C4:E4"/>
    </sheetView>
  </sheetViews>
  <sheetFormatPr defaultColWidth="9" defaultRowHeight="13.2"/>
  <cols>
    <col min="1" max="1" width="2.21875" style="1" customWidth="1"/>
    <col min="2" max="2" width="19.6640625" style="2" customWidth="1"/>
    <col min="3" max="3" width="9.21875" style="1" customWidth="1"/>
    <col min="4" max="4" width="14.44140625" style="1" customWidth="1"/>
    <col min="5" max="5" width="8" style="1" customWidth="1"/>
    <col min="6" max="6" width="51.21875" style="1" customWidth="1"/>
    <col min="7" max="7" width="53.6640625" style="1" customWidth="1"/>
    <col min="8" max="16384" width="9" style="1"/>
  </cols>
  <sheetData>
    <row r="2" spans="1:7" s="5" customFormat="1" ht="75.75" customHeight="1">
      <c r="A2" s="3"/>
      <c r="B2" s="4"/>
      <c r="C2" s="133" t="s">
        <v>0</v>
      </c>
      <c r="D2" s="133"/>
      <c r="E2" s="133"/>
      <c r="F2" s="133"/>
      <c r="G2" s="133"/>
    </row>
    <row r="3" spans="1:7">
      <c r="B3" s="6"/>
      <c r="C3" s="7"/>
      <c r="F3" s="8"/>
    </row>
    <row r="4" spans="1:7" ht="14.25" customHeight="1">
      <c r="B4" s="9" t="s">
        <v>1</v>
      </c>
      <c r="C4" s="134" t="s">
        <v>49</v>
      </c>
      <c r="D4" s="134"/>
      <c r="E4" s="134"/>
      <c r="F4" s="9" t="s">
        <v>2</v>
      </c>
      <c r="G4" s="10" t="s">
        <v>59</v>
      </c>
    </row>
    <row r="5" spans="1:7" ht="14.25" customHeight="1">
      <c r="B5" s="9" t="s">
        <v>3</v>
      </c>
      <c r="C5" s="134" t="s">
        <v>50</v>
      </c>
      <c r="D5" s="134"/>
      <c r="E5" s="134"/>
      <c r="F5" s="9" t="s">
        <v>4</v>
      </c>
      <c r="G5" s="10" t="s">
        <v>60</v>
      </c>
    </row>
    <row r="6" spans="1:7" ht="15.75" customHeight="1">
      <c r="B6" s="135" t="s">
        <v>5</v>
      </c>
      <c r="C6" s="136" t="str">
        <f>C5&amp;"_"&amp;"DateTimeChecker"&amp;"_"&amp;"v0.1"</f>
        <v>FU-SWT_DateTimeChecker_v0.1</v>
      </c>
      <c r="D6" s="136"/>
      <c r="E6" s="136"/>
      <c r="F6" s="9" t="s">
        <v>6</v>
      </c>
      <c r="G6" s="128">
        <v>45809</v>
      </c>
    </row>
    <row r="7" spans="1:7" ht="13.5" customHeight="1">
      <c r="B7" s="135"/>
      <c r="C7" s="136"/>
      <c r="D7" s="136"/>
      <c r="E7" s="136"/>
      <c r="F7" s="9" t="s">
        <v>7</v>
      </c>
      <c r="G7" s="12">
        <v>0.1</v>
      </c>
    </row>
    <row r="8" spans="1:7">
      <c r="B8" s="13"/>
      <c r="C8" s="14"/>
      <c r="D8" s="15"/>
      <c r="E8" s="15"/>
      <c r="F8" s="16"/>
      <c r="G8" s="17"/>
    </row>
    <row r="9" spans="1:7">
      <c r="B9" s="18"/>
      <c r="C9" s="19"/>
      <c r="D9" s="19"/>
      <c r="E9" s="19"/>
      <c r="F9" s="19"/>
    </row>
    <row r="10" spans="1:7">
      <c r="B10" s="20" t="s">
        <v>8</v>
      </c>
    </row>
    <row r="11" spans="1:7" s="21" customFormat="1">
      <c r="B11" s="22" t="s">
        <v>9</v>
      </c>
      <c r="C11" s="23" t="s">
        <v>7</v>
      </c>
      <c r="D11" s="23" t="s">
        <v>10</v>
      </c>
      <c r="E11" s="23" t="s">
        <v>11</v>
      </c>
      <c r="F11" s="23" t="s">
        <v>12</v>
      </c>
      <c r="G11" s="24" t="s">
        <v>13</v>
      </c>
    </row>
    <row r="12" spans="1:7" s="25" customFormat="1">
      <c r="B12" s="127">
        <v>45809</v>
      </c>
      <c r="C12" s="26" t="s">
        <v>54</v>
      </c>
      <c r="D12" s="27" t="s">
        <v>55</v>
      </c>
      <c r="E12" s="27" t="s">
        <v>56</v>
      </c>
      <c r="F12" s="27" t="s">
        <v>57</v>
      </c>
      <c r="G12" s="27" t="s">
        <v>58</v>
      </c>
    </row>
    <row r="13" spans="1:7" s="25" customFormat="1" ht="21.75" customHeight="1">
      <c r="B13" s="28"/>
      <c r="C13" s="26"/>
      <c r="D13" s="27"/>
      <c r="E13" s="27"/>
      <c r="F13" s="27"/>
      <c r="G13" s="29"/>
    </row>
    <row r="14" spans="1:7" s="25" customFormat="1" ht="19.5" customHeight="1">
      <c r="B14" s="28"/>
      <c r="C14" s="26"/>
      <c r="D14" s="27"/>
      <c r="E14" s="27"/>
      <c r="F14" s="27"/>
      <c r="G14" s="29"/>
    </row>
    <row r="15" spans="1:7" s="25" customFormat="1" ht="21.75" customHeight="1">
      <c r="B15" s="28"/>
      <c r="C15" s="26"/>
      <c r="D15" s="27"/>
      <c r="E15" s="27"/>
      <c r="F15" s="27"/>
      <c r="G15" s="29"/>
    </row>
    <row r="16" spans="1:7" s="25" customFormat="1" ht="19.5" customHeight="1">
      <c r="B16" s="28"/>
      <c r="C16" s="26"/>
      <c r="D16" s="27"/>
      <c r="E16" s="27"/>
      <c r="F16" s="27"/>
      <c r="G16" s="29"/>
    </row>
    <row r="17" spans="2:7" s="25" customFormat="1" ht="21.75" customHeight="1">
      <c r="B17" s="28"/>
      <c r="C17" s="26"/>
      <c r="D17" s="27"/>
      <c r="E17" s="27"/>
      <c r="F17" s="27"/>
      <c r="G17" s="29"/>
    </row>
    <row r="18" spans="2:7" s="25" customFormat="1" ht="19.5" customHeight="1">
      <c r="B18" s="30"/>
      <c r="C18" s="31"/>
      <c r="D18" s="32"/>
      <c r="E18" s="32"/>
      <c r="F18" s="32"/>
      <c r="G18" s="33"/>
    </row>
  </sheetData>
  <mergeCells count="5">
    <mergeCell ref="C2:G2"/>
    <mergeCell ref="C4:E4"/>
    <mergeCell ref="C5:E5"/>
    <mergeCell ref="B6:B7"/>
    <mergeCell ref="C6:E7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use&amp;R&amp;"tahomaTahoma,Regular"&amp;8&amp;P/&amp;N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9"/>
  <sheetViews>
    <sheetView workbookViewId="0">
      <selection activeCell="E17" sqref="E17"/>
    </sheetView>
  </sheetViews>
  <sheetFormatPr defaultColWidth="9" defaultRowHeight="13.2"/>
  <cols>
    <col min="1" max="1" width="1.33203125" style="8" customWidth="1"/>
    <col min="2" max="2" width="11.77734375" style="34" customWidth="1"/>
    <col min="3" max="3" width="28.6640625" style="35" bestFit="1" customWidth="1"/>
    <col min="4" max="4" width="17.109375" style="35" customWidth="1"/>
    <col min="5" max="5" width="52.33203125" style="35" bestFit="1" customWidth="1"/>
    <col min="6" max="6" width="56.77734375" style="35" customWidth="1"/>
    <col min="7" max="16384" width="9" style="8"/>
  </cols>
  <sheetData>
    <row r="1" spans="2:6" ht="24.6">
      <c r="B1" s="36"/>
      <c r="D1" s="37" t="s">
        <v>14</v>
      </c>
      <c r="E1" s="38"/>
    </row>
    <row r="2" spans="2:6" ht="13.5" customHeight="1">
      <c r="B2" s="36"/>
      <c r="D2" s="39"/>
      <c r="E2" s="39"/>
    </row>
    <row r="3" spans="2:6">
      <c r="B3" s="139" t="s">
        <v>1</v>
      </c>
      <c r="C3" s="139"/>
      <c r="D3" s="134" t="s">
        <v>49</v>
      </c>
      <c r="E3" s="134"/>
      <c r="F3" s="134"/>
    </row>
    <row r="4" spans="2:6">
      <c r="B4" s="139" t="s">
        <v>3</v>
      </c>
      <c r="C4" s="139"/>
      <c r="D4" s="140" t="s">
        <v>50</v>
      </c>
      <c r="E4" s="140"/>
      <c r="F4" s="140"/>
    </row>
    <row r="5" spans="2:6" s="40" customFormat="1" ht="84.75" customHeight="1">
      <c r="B5" s="137" t="s">
        <v>15</v>
      </c>
      <c r="C5" s="137"/>
      <c r="D5" s="138" t="s">
        <v>51</v>
      </c>
      <c r="E5" s="138"/>
      <c r="F5" s="138"/>
    </row>
    <row r="6" spans="2:6">
      <c r="B6" s="41"/>
      <c r="C6" s="42"/>
      <c r="D6" s="42"/>
      <c r="E6" s="42"/>
      <c r="F6" s="42"/>
    </row>
    <row r="7" spans="2:6" s="43" customFormat="1">
      <c r="B7" s="44"/>
      <c r="C7" s="45"/>
      <c r="D7" s="45"/>
      <c r="E7" s="45"/>
      <c r="F7" s="45"/>
    </row>
    <row r="8" spans="2:6" s="46" customFormat="1" ht="21" customHeight="1">
      <c r="B8" s="47" t="s">
        <v>16</v>
      </c>
      <c r="C8" s="48" t="s">
        <v>17</v>
      </c>
      <c r="D8" s="48" t="s">
        <v>18</v>
      </c>
      <c r="E8" s="49" t="s">
        <v>19</v>
      </c>
      <c r="F8" s="50" t="s">
        <v>20</v>
      </c>
    </row>
    <row r="9" spans="2:6">
      <c r="B9" s="51">
        <v>1</v>
      </c>
      <c r="C9" s="51" t="s">
        <v>96</v>
      </c>
      <c r="D9" s="126" t="s">
        <v>21</v>
      </c>
      <c r="E9" s="51" t="s">
        <v>97</v>
      </c>
      <c r="F9" s="51" t="s">
        <v>98</v>
      </c>
    </row>
    <row r="10" spans="2:6">
      <c r="B10" s="51">
        <v>2</v>
      </c>
      <c r="C10" s="51" t="s">
        <v>99</v>
      </c>
      <c r="D10" s="126" t="s">
        <v>23</v>
      </c>
      <c r="E10" s="51" t="s">
        <v>100</v>
      </c>
      <c r="F10" s="51" t="s">
        <v>101</v>
      </c>
    </row>
    <row r="11" spans="2:6">
      <c r="B11" s="51">
        <v>3</v>
      </c>
      <c r="C11" s="51" t="s">
        <v>102</v>
      </c>
      <c r="D11" s="126" t="s">
        <v>53</v>
      </c>
      <c r="E11" s="51" t="s">
        <v>103</v>
      </c>
      <c r="F11" s="51" t="s">
        <v>52</v>
      </c>
    </row>
    <row r="12" spans="2:6">
      <c r="B12" s="51"/>
      <c r="C12" s="52"/>
      <c r="D12" s="54"/>
      <c r="E12" s="54"/>
      <c r="F12" s="53"/>
    </row>
    <row r="13" spans="2:6">
      <c r="B13" s="51"/>
      <c r="C13" s="52"/>
      <c r="D13" s="54"/>
      <c r="E13" s="54"/>
      <c r="F13" s="53"/>
    </row>
    <row r="14" spans="2:6">
      <c r="B14" s="51"/>
      <c r="C14" s="52"/>
      <c r="D14" s="54"/>
      <c r="E14" s="54"/>
      <c r="F14" s="53"/>
    </row>
    <row r="15" spans="2:6">
      <c r="B15" s="51"/>
      <c r="C15" s="52"/>
      <c r="D15" s="54"/>
      <c r="E15" s="54"/>
      <c r="F15" s="53"/>
    </row>
    <row r="16" spans="2:6">
      <c r="B16" s="51"/>
      <c r="C16" s="52"/>
      <c r="D16" s="54"/>
      <c r="E16" s="54"/>
      <c r="F16" s="53"/>
    </row>
    <row r="17" spans="2:6">
      <c r="B17" s="51"/>
      <c r="C17" s="52"/>
      <c r="D17" s="54"/>
      <c r="E17" s="54"/>
      <c r="F17" s="53"/>
    </row>
    <row r="18" spans="2:6">
      <c r="B18" s="51"/>
      <c r="C18" s="52"/>
      <c r="D18" s="54"/>
      <c r="E18" s="54"/>
      <c r="F18" s="53"/>
    </row>
    <row r="19" spans="2:6">
      <c r="B19" s="55"/>
      <c r="C19" s="56"/>
      <c r="D19" s="57"/>
      <c r="E19" s="57"/>
      <c r="F19" s="58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10" location="Module2!B14" display="Module2" xr:uid="{00000000-0004-0000-0100-000000000000}"/>
    <hyperlink ref="D11" location="Module3!B17" display="Module3" xr:uid="{00000000-0004-0000-0100-000001000000}"/>
    <hyperlink ref="D9" location="Module1!B10" display="Module1" xr:uid="{00000000-0004-0000-0100-000004000000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zoomScale="79" workbookViewId="0">
      <pane ySplit="8" topLeftCell="A9" activePane="bottomLeft" state="frozen"/>
      <selection pane="bottomLeft" activeCell="B11" sqref="B11"/>
    </sheetView>
  </sheetViews>
  <sheetFormatPr defaultColWidth="9" defaultRowHeight="13.2"/>
  <cols>
    <col min="1" max="1" width="13.109375" style="8" bestFit="1" customWidth="1"/>
    <col min="2" max="2" width="59.33203125" style="8" bestFit="1" customWidth="1"/>
    <col min="3" max="3" width="39" style="8" bestFit="1" customWidth="1"/>
    <col min="4" max="4" width="101.77734375" style="8" bestFit="1" customWidth="1"/>
    <col min="5" max="5" width="56.44140625" style="8" bestFit="1" customWidth="1"/>
    <col min="6" max="6" width="12.77734375" style="8" bestFit="1" customWidth="1"/>
    <col min="7" max="7" width="15.77734375" style="59" bestFit="1" customWidth="1"/>
    <col min="8" max="8" width="11.21875" style="8" bestFit="1" customWidth="1"/>
    <col min="9" max="9" width="8.21875" style="60" customWidth="1"/>
    <col min="10" max="10" width="7.5546875" style="8" bestFit="1" customWidth="1"/>
    <col min="11" max="16384" width="9" style="8"/>
  </cols>
  <sheetData>
    <row r="1" spans="1:11" s="66" customFormat="1" ht="13.8" thickBot="1">
      <c r="A1" s="61"/>
      <c r="B1" s="62"/>
      <c r="C1" s="62"/>
      <c r="D1" s="62"/>
      <c r="E1" s="62"/>
      <c r="F1" s="63"/>
      <c r="G1" s="64"/>
      <c r="H1" s="40"/>
      <c r="I1" s="65"/>
    </row>
    <row r="2" spans="1:11" s="66" customFormat="1" ht="15" customHeight="1">
      <c r="A2" s="67" t="s">
        <v>24</v>
      </c>
      <c r="B2" s="141" t="s">
        <v>21</v>
      </c>
      <c r="C2" s="141"/>
      <c r="D2" s="141"/>
      <c r="E2" s="141"/>
      <c r="F2" s="141"/>
      <c r="G2" s="68"/>
      <c r="H2" s="40"/>
      <c r="I2" s="65"/>
      <c r="J2" s="66" t="s">
        <v>25</v>
      </c>
    </row>
    <row r="3" spans="1:11" s="66" customFormat="1" ht="25.5" customHeight="1">
      <c r="A3" s="69" t="s">
        <v>26</v>
      </c>
      <c r="B3" s="141" t="s">
        <v>73</v>
      </c>
      <c r="C3" s="141"/>
      <c r="D3" s="141"/>
      <c r="E3" s="141"/>
      <c r="F3" s="141"/>
      <c r="G3" s="68"/>
      <c r="H3" s="40"/>
      <c r="I3" s="65"/>
      <c r="J3" s="66" t="s">
        <v>27</v>
      </c>
    </row>
    <row r="4" spans="1:11" s="66" customFormat="1" ht="18" customHeight="1">
      <c r="A4" s="67" t="s">
        <v>28</v>
      </c>
      <c r="B4" s="142"/>
      <c r="C4" s="142"/>
      <c r="D4" s="142"/>
      <c r="E4" s="142"/>
      <c r="F4" s="142"/>
      <c r="G4" s="68"/>
      <c r="H4" s="40"/>
      <c r="I4" s="65"/>
      <c r="J4" s="70"/>
    </row>
    <row r="5" spans="1:11" s="66" customFormat="1" ht="19.5" customHeight="1">
      <c r="A5" s="71" t="s">
        <v>25</v>
      </c>
      <c r="B5" s="72" t="s">
        <v>27</v>
      </c>
      <c r="C5" s="72" t="s">
        <v>29</v>
      </c>
      <c r="D5" s="73" t="s">
        <v>30</v>
      </c>
      <c r="E5" s="143" t="s">
        <v>31</v>
      </c>
      <c r="F5" s="143"/>
      <c r="G5" s="74"/>
      <c r="H5" s="74"/>
      <c r="I5" s="75"/>
      <c r="J5" s="66" t="s">
        <v>32</v>
      </c>
    </row>
    <row r="6" spans="1:11" s="66" customFormat="1" ht="15" customHeight="1" thickBot="1">
      <c r="A6" s="92">
        <f>COUNTIF(F10:F997,"Pass")</f>
        <v>1</v>
      </c>
      <c r="B6" s="76">
        <f>COUNTIF(F10:F997,"Fail")</f>
        <v>0</v>
      </c>
      <c r="C6" s="76">
        <f>E6-D6-B6-A6</f>
        <v>4</v>
      </c>
      <c r="D6" s="77">
        <f>COUNTIF(F$10:F$997,"N/A")</f>
        <v>0</v>
      </c>
      <c r="E6" s="144">
        <f>COUNTA(A10:A997)</f>
        <v>5</v>
      </c>
      <c r="F6" s="144"/>
      <c r="G6" s="74"/>
      <c r="H6" s="74"/>
      <c r="I6" s="75"/>
      <c r="J6" s="66" t="s">
        <v>30</v>
      </c>
    </row>
    <row r="7" spans="1:11" s="66" customFormat="1" ht="15" customHeight="1">
      <c r="D7" s="78"/>
      <c r="E7" s="78"/>
      <c r="F7" s="78"/>
      <c r="G7" s="78"/>
      <c r="H7" s="78"/>
      <c r="I7" s="75"/>
    </row>
    <row r="8" spans="1:11" s="66" customFormat="1" ht="25.5" customHeight="1">
      <c r="A8" s="79" t="s">
        <v>33</v>
      </c>
      <c r="B8" s="79" t="s">
        <v>34</v>
      </c>
      <c r="C8" s="79" t="s">
        <v>35</v>
      </c>
      <c r="D8" s="79" t="s">
        <v>36</v>
      </c>
      <c r="E8" s="80" t="s">
        <v>37</v>
      </c>
      <c r="F8" s="80" t="s">
        <v>38</v>
      </c>
      <c r="G8" s="80" t="s">
        <v>39</v>
      </c>
      <c r="H8" s="79" t="s">
        <v>40</v>
      </c>
      <c r="I8" s="81"/>
    </row>
    <row r="9" spans="1:11" s="66" customFormat="1" ht="15.75" customHeight="1">
      <c r="A9" s="82"/>
      <c r="B9" s="82"/>
      <c r="C9" s="83"/>
      <c r="D9" s="83"/>
      <c r="E9" s="83"/>
      <c r="F9" s="83"/>
      <c r="G9" s="83"/>
      <c r="H9" s="84"/>
      <c r="I9" s="85"/>
    </row>
    <row r="10" spans="1:11" s="88" customFormat="1" ht="121.05" customHeight="1">
      <c r="A10" s="148" t="str">
        <f>IF(OR(B10&lt;B2&gt;"",D10&lt;&gt;""),"["&amp;TEXT($B$2,"##")&amp;"-"&amp;TEXT(ROW()-10,"##")&amp;"]","")</f>
        <v>[Module1-]</v>
      </c>
      <c r="B10" s="148" t="s">
        <v>119</v>
      </c>
      <c r="C10" s="148" t="s">
        <v>120</v>
      </c>
      <c r="D10" s="149" t="s">
        <v>61</v>
      </c>
      <c r="E10" s="149" t="s">
        <v>62</v>
      </c>
      <c r="F10" s="148" t="s">
        <v>29</v>
      </c>
      <c r="G10" s="148"/>
      <c r="H10" s="150"/>
      <c r="I10" s="87"/>
    </row>
    <row r="11" spans="1:11" ht="39.6">
      <c r="A11" s="148" t="str">
        <f>IF(OR(B11&lt;&gt;"",D11&lt;&gt;""),"["&amp;TEXT($B$2,"##")&amp;"-"&amp;TEXT(ROW()-10,"##")&amp;"]","")</f>
        <v>[Module1-1]</v>
      </c>
      <c r="B11" s="148" t="s">
        <v>63</v>
      </c>
      <c r="C11" s="148" t="s">
        <v>74</v>
      </c>
      <c r="D11" s="148" t="s">
        <v>64</v>
      </c>
      <c r="E11" s="148" t="s">
        <v>65</v>
      </c>
      <c r="F11" s="148" t="s">
        <v>25</v>
      </c>
      <c r="G11" s="148"/>
      <c r="H11" s="150"/>
      <c r="I11" s="87"/>
    </row>
    <row r="12" spans="1:11" ht="39.6">
      <c r="A12" s="148" t="str">
        <f>IF(OR(B12&lt;&gt;"",D12&lt;&gt;""),"["&amp;TEXT($B$2,"##")&amp;"-"&amp;TEXT(ROW()-10,"##")&amp;"]","")</f>
        <v>[Module1-2]</v>
      </c>
      <c r="B12" s="148" t="s">
        <v>66</v>
      </c>
      <c r="C12" s="148" t="s">
        <v>75</v>
      </c>
      <c r="D12" s="148" t="s">
        <v>67</v>
      </c>
      <c r="E12" s="148" t="s">
        <v>68</v>
      </c>
      <c r="F12" s="148" t="s">
        <v>29</v>
      </c>
      <c r="G12" s="148"/>
      <c r="H12" s="150"/>
      <c r="I12" s="87"/>
    </row>
    <row r="13" spans="1:11" ht="39.6">
      <c r="A13" s="148" t="str">
        <f>IF(OR(B13&lt;&gt;"",D13&lt;&gt;""),"["&amp;TEXT($B$2,"##")&amp;"-"&amp;TEXT(ROW()-11,"##")&amp;"]","")</f>
        <v>[Module1-2]</v>
      </c>
      <c r="B13" s="148" t="s">
        <v>69</v>
      </c>
      <c r="C13" s="148" t="s">
        <v>76</v>
      </c>
      <c r="D13" s="148" t="s">
        <v>70</v>
      </c>
      <c r="E13" s="148" t="s">
        <v>68</v>
      </c>
      <c r="F13" s="148" t="s">
        <v>29</v>
      </c>
      <c r="G13" s="148"/>
      <c r="H13" s="150"/>
      <c r="I13" s="87"/>
    </row>
    <row r="14" spans="1:11" ht="39.6">
      <c r="A14" s="148" t="str">
        <f>IF(OR(B14&lt;&gt;"",D14&lt;&gt;""),"["&amp;TEXT($B$2,"##")&amp;"-"&amp;TEXT(ROW()-11,"##")&amp;"]","")</f>
        <v>[Module1-3]</v>
      </c>
      <c r="B14" s="148" t="s">
        <v>71</v>
      </c>
      <c r="C14" s="148" t="s">
        <v>77</v>
      </c>
      <c r="D14" s="148" t="s">
        <v>72</v>
      </c>
      <c r="E14" s="148" t="s">
        <v>68</v>
      </c>
      <c r="F14" s="148" t="s">
        <v>29</v>
      </c>
      <c r="G14" s="151"/>
      <c r="H14" s="152"/>
      <c r="I14" s="91"/>
    </row>
    <row r="15" spans="1:11">
      <c r="F15" s="94"/>
      <c r="I15" s="85"/>
      <c r="J15" s="66"/>
      <c r="K15" s="66"/>
    </row>
    <row r="16" spans="1:11">
      <c r="F16" s="95"/>
      <c r="I16" s="87"/>
    </row>
  </sheetData>
  <autoFilter ref="A8:H14" xr:uid="{00000000-0009-0000-0000-000002000000}"/>
  <mergeCells count="5">
    <mergeCell ref="B2:F2"/>
    <mergeCell ref="B3:F3"/>
    <mergeCell ref="B4:F4"/>
    <mergeCell ref="E5:F5"/>
    <mergeCell ref="E6:F6"/>
  </mergeCells>
  <dataValidations count="1">
    <dataValidation type="list" allowBlank="1" showErrorMessage="1" sqref="F1:F3 F7:F143" xr:uid="{00000000-0002-0000-0200-000000000000}">
      <formula1>$J$2:$J$6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tabSelected="1" workbookViewId="0">
      <pane ySplit="8" topLeftCell="A12" activePane="bottomLeft" state="frozen"/>
      <selection pane="bottomLeft" activeCell="B26" sqref="B26"/>
    </sheetView>
  </sheetViews>
  <sheetFormatPr defaultColWidth="9" defaultRowHeight="13.2"/>
  <cols>
    <col min="1" max="1" width="10.77734375" style="8" bestFit="1" customWidth="1"/>
    <col min="2" max="2" width="45.44140625" style="8" bestFit="1" customWidth="1"/>
    <col min="3" max="3" width="109.21875" style="8" bestFit="1" customWidth="1"/>
    <col min="4" max="4" width="59" style="8" bestFit="1" customWidth="1"/>
    <col min="5" max="5" width="45.109375" style="8" bestFit="1" customWidth="1"/>
    <col min="6" max="6" width="11.33203125" style="8" bestFit="1" customWidth="1"/>
    <col min="7" max="7" width="9.6640625" style="59" bestFit="1" customWidth="1"/>
    <col min="8" max="8" width="9.77734375" style="8" bestFit="1" customWidth="1"/>
    <col min="9" max="9" width="8.21875" style="60" customWidth="1"/>
    <col min="10" max="10" width="0" style="8" hidden="1" customWidth="1"/>
    <col min="11" max="16384" width="9" style="8"/>
  </cols>
  <sheetData>
    <row r="1" spans="1:11" s="66" customFormat="1">
      <c r="A1" s="61"/>
      <c r="B1" s="62"/>
      <c r="C1" s="62"/>
      <c r="D1" s="62"/>
      <c r="E1" s="62"/>
      <c r="F1" s="63"/>
      <c r="G1" s="64"/>
      <c r="H1" s="40"/>
      <c r="I1" s="65"/>
    </row>
    <row r="2" spans="1:11" s="66" customFormat="1" ht="15" customHeight="1">
      <c r="A2" s="67" t="s">
        <v>24</v>
      </c>
      <c r="B2" s="141" t="s">
        <v>23</v>
      </c>
      <c r="C2" s="141"/>
      <c r="D2" s="141"/>
      <c r="E2" s="141"/>
      <c r="F2" s="141"/>
      <c r="G2" s="68"/>
      <c r="H2" s="40"/>
      <c r="I2" s="65"/>
      <c r="J2" s="66" t="s">
        <v>25</v>
      </c>
    </row>
    <row r="3" spans="1:11" s="66" customFormat="1" ht="25.5" customHeight="1">
      <c r="A3" s="69" t="s">
        <v>26</v>
      </c>
      <c r="B3" s="141" t="s">
        <v>93</v>
      </c>
      <c r="C3" s="141"/>
      <c r="D3" s="141"/>
      <c r="E3" s="141"/>
      <c r="F3" s="141"/>
      <c r="G3" s="68"/>
      <c r="H3" s="40"/>
      <c r="I3" s="65"/>
      <c r="J3" s="66" t="s">
        <v>27</v>
      </c>
    </row>
    <row r="4" spans="1:11" s="66" customFormat="1" ht="18" customHeight="1">
      <c r="A4" s="67" t="s">
        <v>28</v>
      </c>
      <c r="B4" s="142"/>
      <c r="C4" s="142"/>
      <c r="D4" s="142"/>
      <c r="E4" s="142"/>
      <c r="F4" s="142"/>
      <c r="G4" s="68"/>
      <c r="H4" s="40"/>
      <c r="I4" s="65"/>
      <c r="J4" s="70"/>
    </row>
    <row r="5" spans="1:11" s="66" customFormat="1" ht="19.5" customHeight="1">
      <c r="A5" s="71" t="s">
        <v>25</v>
      </c>
      <c r="B5" s="72" t="s">
        <v>27</v>
      </c>
      <c r="C5" s="72" t="s">
        <v>29</v>
      </c>
      <c r="D5" s="73" t="s">
        <v>30</v>
      </c>
      <c r="E5" s="143" t="s">
        <v>31</v>
      </c>
      <c r="F5" s="143"/>
      <c r="G5" s="74"/>
      <c r="H5" s="74"/>
      <c r="I5" s="75"/>
      <c r="J5" s="66" t="s">
        <v>32</v>
      </c>
    </row>
    <row r="6" spans="1:11" s="66" customFormat="1" ht="15" customHeight="1">
      <c r="A6" s="92">
        <f>COUNTIF(F10:F997,"Pass")</f>
        <v>4</v>
      </c>
      <c r="B6" s="76">
        <f>COUNTIF(F10:F997,"Fail")</f>
        <v>0</v>
      </c>
      <c r="C6" s="76">
        <f>E6-D6-B6-A6</f>
        <v>1</v>
      </c>
      <c r="D6" s="77">
        <f>COUNTIF(F$10:F$997,"N/A")</f>
        <v>0</v>
      </c>
      <c r="E6" s="144">
        <f>COUNTA(A10:A997)</f>
        <v>5</v>
      </c>
      <c r="F6" s="144"/>
      <c r="G6" s="74"/>
      <c r="H6" s="74"/>
      <c r="I6" s="75"/>
      <c r="J6" s="66" t="s">
        <v>30</v>
      </c>
    </row>
    <row r="7" spans="1:11" s="66" customFormat="1" ht="15" customHeight="1">
      <c r="D7" s="78"/>
      <c r="E7" s="78"/>
      <c r="F7" s="78"/>
      <c r="G7" s="78"/>
      <c r="H7" s="78"/>
      <c r="I7" s="75"/>
    </row>
    <row r="8" spans="1:11" s="66" customFormat="1" ht="26.4">
      <c r="A8" s="79" t="s">
        <v>33</v>
      </c>
      <c r="B8" s="79" t="s">
        <v>34</v>
      </c>
      <c r="C8" s="79" t="s">
        <v>35</v>
      </c>
      <c r="D8" s="79" t="s">
        <v>36</v>
      </c>
      <c r="E8" s="80" t="s">
        <v>37</v>
      </c>
      <c r="F8" s="80" t="s">
        <v>38</v>
      </c>
      <c r="G8" s="80" t="s">
        <v>39</v>
      </c>
      <c r="H8" s="79" t="s">
        <v>40</v>
      </c>
      <c r="I8" s="81"/>
    </row>
    <row r="9" spans="1:11" s="66" customFormat="1">
      <c r="A9" s="82"/>
      <c r="B9" s="82" t="s">
        <v>22</v>
      </c>
      <c r="C9" s="83"/>
      <c r="D9" s="83"/>
      <c r="E9" s="83"/>
      <c r="F9" s="83"/>
      <c r="G9" s="83"/>
      <c r="H9" s="84"/>
      <c r="I9" s="85"/>
    </row>
    <row r="10" spans="1:11" s="88" customFormat="1" ht="57.6">
      <c r="A10" s="86" t="str">
        <f>IF(OR(B10&lt;&gt;"",D10&lt;&gt;""),"["&amp;TEXT($B$2,"##")&amp;"-"&amp;TEXT(ROW()-10,"##")&amp;"]","")</f>
        <v>[Module2-]</v>
      </c>
      <c r="B10" s="129" t="s">
        <v>78</v>
      </c>
      <c r="C10" s="130" t="s">
        <v>91</v>
      </c>
      <c r="D10" s="129" t="s">
        <v>79</v>
      </c>
      <c r="E10" s="129" t="s">
        <v>68</v>
      </c>
      <c r="F10" s="129" t="s">
        <v>29</v>
      </c>
      <c r="G10" s="86"/>
      <c r="H10" s="93"/>
      <c r="I10" s="87"/>
    </row>
    <row r="11" spans="1:11" ht="57.6">
      <c r="A11" s="86" t="str">
        <f>IF(OR(B11&lt;&gt;"",D11&lt;&gt;""),"["&amp;TEXT($B$2,"##")&amp;"-"&amp;TEXT(ROW()-10,"##")&amp;"]","")</f>
        <v>[Module2-1]</v>
      </c>
      <c r="B11" s="129" t="s">
        <v>80</v>
      </c>
      <c r="C11" s="130" t="s">
        <v>85</v>
      </c>
      <c r="D11" s="129" t="s">
        <v>79</v>
      </c>
      <c r="E11" s="129" t="s">
        <v>68</v>
      </c>
      <c r="F11" s="129" t="s">
        <v>25</v>
      </c>
      <c r="G11" s="86"/>
      <c r="H11" s="93"/>
      <c r="I11" s="87"/>
    </row>
    <row r="12" spans="1:11" ht="28.8">
      <c r="A12" s="86" t="str">
        <f>IF(OR(B12&lt;&gt;"",D12&lt;&gt;""),"["&amp;TEXT($B$2,"##")&amp;"-"&amp;TEXT(ROW()-10,"##")&amp;"]","")</f>
        <v>[Module2-2]</v>
      </c>
      <c r="B12" s="129" t="s">
        <v>81</v>
      </c>
      <c r="C12" s="130" t="s">
        <v>86</v>
      </c>
      <c r="D12" s="129" t="s">
        <v>82</v>
      </c>
      <c r="E12" s="129" t="s">
        <v>68</v>
      </c>
      <c r="F12" s="129" t="s">
        <v>25</v>
      </c>
      <c r="G12" s="86"/>
      <c r="H12" s="93"/>
      <c r="I12" s="87"/>
    </row>
    <row r="13" spans="1:11" ht="28.8">
      <c r="A13" s="86" t="str">
        <f>IF(OR(B13&lt;&gt;"",D13&lt;&gt;""),"["&amp;TEXT($B$2,"##")&amp;"-"&amp;TEXT(ROW()-11,"##")&amp;"]","")</f>
        <v>[Module2-2]</v>
      </c>
      <c r="B13" s="129" t="s">
        <v>83</v>
      </c>
      <c r="C13" s="130" t="s">
        <v>87</v>
      </c>
      <c r="D13" s="129" t="s">
        <v>84</v>
      </c>
      <c r="E13" s="129" t="s">
        <v>68</v>
      </c>
      <c r="F13" s="129" t="s">
        <v>25</v>
      </c>
      <c r="G13" s="86"/>
      <c r="H13" s="93"/>
      <c r="I13" s="87"/>
    </row>
    <row r="14" spans="1:11" ht="57.6">
      <c r="A14" s="86" t="str">
        <f>IF(OR(B14&lt;&gt;"",D14&lt;&gt;""),"["&amp;TEXT($B$2,"##")&amp;"-"&amp;TEXT(ROW()-11,"##")&amp;"]","")</f>
        <v>[Module2-3]</v>
      </c>
      <c r="B14" s="129" t="s">
        <v>89</v>
      </c>
      <c r="C14" s="130" t="s">
        <v>92</v>
      </c>
      <c r="D14" s="129" t="s">
        <v>90</v>
      </c>
      <c r="E14" s="129" t="s">
        <v>68</v>
      </c>
      <c r="F14" s="129" t="s">
        <v>25</v>
      </c>
      <c r="G14" s="89"/>
      <c r="H14" s="90"/>
      <c r="I14" s="91"/>
    </row>
    <row r="15" spans="1:11">
      <c r="F15" s="94"/>
      <c r="I15" s="85"/>
      <c r="J15" s="66"/>
      <c r="K15" s="66"/>
    </row>
    <row r="16" spans="1:11">
      <c r="F16" s="95"/>
      <c r="I16" s="87"/>
    </row>
  </sheetData>
  <autoFilter ref="A8:H14" xr:uid="{00000000-0009-0000-0000-000003000000}"/>
  <mergeCells count="5">
    <mergeCell ref="E6:F6"/>
    <mergeCell ref="B2:F2"/>
    <mergeCell ref="B3:F3"/>
    <mergeCell ref="B4:F4"/>
    <mergeCell ref="E5:F5"/>
  </mergeCells>
  <phoneticPr fontId="0" type="noConversion"/>
  <dataValidations count="1">
    <dataValidation type="list" allowBlank="1" showErrorMessage="1" sqref="F1:F3 F15:F143 F7:F9" xr:uid="{00000000-0002-0000-0300-000000000000}">
      <formula1>$J$2:$J$6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zoomScale="70" zoomScaleNormal="70" workbookViewId="0">
      <pane ySplit="8" topLeftCell="A9" activePane="bottomLeft" state="frozen"/>
      <selection pane="bottomLeft" activeCell="B10" sqref="B10"/>
    </sheetView>
  </sheetViews>
  <sheetFormatPr defaultColWidth="9" defaultRowHeight="13.2"/>
  <cols>
    <col min="1" max="1" width="17.88671875" style="8" bestFit="1" customWidth="1"/>
    <col min="2" max="2" width="79" style="8" bestFit="1" customWidth="1"/>
    <col min="3" max="3" width="109.21875" style="8" bestFit="1" customWidth="1"/>
    <col min="4" max="4" width="50.21875" style="8" bestFit="1" customWidth="1"/>
    <col min="5" max="5" width="50.44140625" style="8" bestFit="1" customWidth="1"/>
    <col min="6" max="6" width="11.33203125" style="8" bestFit="1" customWidth="1"/>
    <col min="7" max="7" width="9.6640625" style="59" bestFit="1" customWidth="1"/>
    <col min="8" max="8" width="9.77734375" style="8" bestFit="1" customWidth="1"/>
    <col min="9" max="9" width="8.21875" style="60" customWidth="1"/>
    <col min="10" max="10" width="0" style="8" hidden="1" customWidth="1"/>
    <col min="11" max="16384" width="9" style="8"/>
  </cols>
  <sheetData>
    <row r="1" spans="1:11" s="66" customFormat="1" ht="13.8" thickBot="1">
      <c r="A1" s="61"/>
      <c r="B1" s="62"/>
      <c r="C1" s="62"/>
      <c r="D1" s="62"/>
      <c r="E1" s="62"/>
      <c r="F1" s="63"/>
      <c r="G1" s="64"/>
      <c r="H1" s="40"/>
      <c r="I1" s="65"/>
    </row>
    <row r="2" spans="1:11" s="66" customFormat="1" ht="15" customHeight="1">
      <c r="A2" s="67" t="s">
        <v>24</v>
      </c>
      <c r="B2" s="141" t="s">
        <v>53</v>
      </c>
      <c r="C2" s="141"/>
      <c r="D2" s="141"/>
      <c r="E2" s="141"/>
      <c r="F2" s="141"/>
      <c r="G2" s="68"/>
      <c r="H2" s="40"/>
      <c r="I2" s="65"/>
      <c r="J2" s="66" t="s">
        <v>25</v>
      </c>
    </row>
    <row r="3" spans="1:11" s="66" customFormat="1" ht="25.5" customHeight="1">
      <c r="A3" s="69" t="s">
        <v>26</v>
      </c>
      <c r="B3" s="141" t="s">
        <v>94</v>
      </c>
      <c r="C3" s="141"/>
      <c r="D3" s="141"/>
      <c r="E3" s="141"/>
      <c r="F3" s="141"/>
      <c r="G3" s="68"/>
      <c r="H3" s="40"/>
      <c r="I3" s="65"/>
      <c r="J3" s="66" t="s">
        <v>27</v>
      </c>
    </row>
    <row r="4" spans="1:11" s="66" customFormat="1" ht="18" customHeight="1">
      <c r="A4" s="67" t="s">
        <v>28</v>
      </c>
      <c r="B4" s="142"/>
      <c r="C4" s="142"/>
      <c r="D4" s="142"/>
      <c r="E4" s="142"/>
      <c r="F4" s="142"/>
      <c r="G4" s="68"/>
      <c r="H4" s="40"/>
      <c r="I4" s="65"/>
      <c r="J4" s="70"/>
    </row>
    <row r="5" spans="1:11" s="66" customFormat="1" ht="19.5" customHeight="1">
      <c r="A5" s="71" t="s">
        <v>25</v>
      </c>
      <c r="B5" s="72" t="s">
        <v>27</v>
      </c>
      <c r="C5" s="72" t="s">
        <v>29</v>
      </c>
      <c r="D5" s="73" t="s">
        <v>30</v>
      </c>
      <c r="E5" s="143" t="s">
        <v>31</v>
      </c>
      <c r="F5" s="143"/>
      <c r="G5" s="74"/>
      <c r="H5" s="74"/>
      <c r="I5" s="75"/>
      <c r="J5" s="66" t="s">
        <v>32</v>
      </c>
    </row>
    <row r="6" spans="1:11" s="66" customFormat="1" ht="15" customHeight="1" thickBot="1">
      <c r="A6" s="92">
        <f>COUNTIF(F9:F996,"Pass")</f>
        <v>2</v>
      </c>
      <c r="B6" s="76">
        <f>COUNTIF(F9:F996,"Fail")</f>
        <v>0</v>
      </c>
      <c r="C6" s="76">
        <f>E6-D6-B6-A6</f>
        <v>3</v>
      </c>
      <c r="D6" s="77">
        <f>COUNTIF(F$9:F$996,"N/A")</f>
        <v>0</v>
      </c>
      <c r="E6" s="144">
        <f>COUNTA(A9:A996)</f>
        <v>5</v>
      </c>
      <c r="F6" s="144"/>
      <c r="G6" s="74"/>
      <c r="H6" s="74"/>
      <c r="I6" s="75"/>
      <c r="J6" s="66" t="s">
        <v>30</v>
      </c>
    </row>
    <row r="7" spans="1:11" s="66" customFormat="1" ht="15" customHeight="1">
      <c r="D7" s="78"/>
      <c r="E7" s="78"/>
      <c r="F7" s="78"/>
      <c r="G7" s="78"/>
      <c r="H7" s="78"/>
      <c r="I7" s="75"/>
    </row>
    <row r="8" spans="1:11" s="66" customFormat="1" ht="26.4">
      <c r="A8" s="79" t="s">
        <v>33</v>
      </c>
      <c r="B8" s="79" t="s">
        <v>34</v>
      </c>
      <c r="C8" s="79" t="s">
        <v>35</v>
      </c>
      <c r="D8" s="79" t="s">
        <v>36</v>
      </c>
      <c r="E8" s="80" t="s">
        <v>37</v>
      </c>
      <c r="F8" s="80" t="s">
        <v>38</v>
      </c>
      <c r="G8" s="80" t="s">
        <v>39</v>
      </c>
      <c r="H8" s="79" t="s">
        <v>40</v>
      </c>
      <c r="I8" s="81"/>
    </row>
    <row r="9" spans="1:11" s="88" customFormat="1" ht="43.2">
      <c r="A9" s="129" t="str">
        <f>IF(OR(B9&lt;&gt;"",D9&lt;&gt;""),"["&amp;TEXT($B$2,"##")&amp;"-"&amp;TEXT(ROW()-10,"##")&amp;"]","")</f>
        <v>[Module3--1]</v>
      </c>
      <c r="B9" s="129" t="s">
        <v>104</v>
      </c>
      <c r="C9" s="130" t="s">
        <v>105</v>
      </c>
      <c r="D9" s="132" t="s">
        <v>106</v>
      </c>
      <c r="E9" s="129" t="s">
        <v>88</v>
      </c>
      <c r="F9" s="129" t="s">
        <v>29</v>
      </c>
      <c r="G9" s="86"/>
      <c r="H9" s="93"/>
      <c r="I9" s="87"/>
    </row>
    <row r="10" spans="1:11" ht="57.6">
      <c r="A10" s="86" t="str">
        <f>IF(OR(B10&lt;&gt;"",D10&lt;&gt;""),"["&amp;TEXT($B$2,"##")&amp;"-"&amp;TEXT(ROW()-10,"##")&amp;"]","")</f>
        <v>[Module3-]</v>
      </c>
      <c r="B10" s="129" t="s">
        <v>107</v>
      </c>
      <c r="C10" s="130" t="s">
        <v>108</v>
      </c>
      <c r="D10" s="132" t="s">
        <v>109</v>
      </c>
      <c r="E10" s="129" t="s">
        <v>88</v>
      </c>
      <c r="F10" s="129" t="s">
        <v>25</v>
      </c>
      <c r="G10" s="86"/>
      <c r="H10" s="93"/>
      <c r="I10" s="87"/>
    </row>
    <row r="11" spans="1:11" ht="43.2">
      <c r="A11" s="86" t="str">
        <f>IF(OR(B11&lt;&gt;"",D11&lt;&gt;""),"["&amp;TEXT($B$2,"##")&amp;"-"&amp;TEXT(ROW()-10,"##")&amp;"]","")</f>
        <v>[Module3-1]</v>
      </c>
      <c r="B11" s="129" t="s">
        <v>110</v>
      </c>
      <c r="C11" s="130" t="s">
        <v>111</v>
      </c>
      <c r="D11" s="132" t="s">
        <v>112</v>
      </c>
      <c r="E11" s="129" t="s">
        <v>88</v>
      </c>
      <c r="F11" s="129" t="s">
        <v>25</v>
      </c>
      <c r="G11" s="86"/>
      <c r="H11" s="93"/>
      <c r="I11" s="87"/>
    </row>
    <row r="12" spans="1:11" ht="43.2">
      <c r="A12" s="86" t="str">
        <f>IF(OR(B12&lt;&gt;"",D12&lt;&gt;""),"["&amp;TEXT($B$2,"##")&amp;"-"&amp;TEXT(ROW()-11,"##")&amp;"]","")</f>
        <v>[Module3-1]</v>
      </c>
      <c r="B12" s="129" t="s">
        <v>113</v>
      </c>
      <c r="C12" s="130" t="s">
        <v>114</v>
      </c>
      <c r="D12" s="132" t="s">
        <v>115</v>
      </c>
      <c r="E12" s="129" t="s">
        <v>88</v>
      </c>
      <c r="F12" s="129" t="s">
        <v>29</v>
      </c>
      <c r="G12" s="86"/>
      <c r="H12" s="93"/>
      <c r="I12" s="87"/>
    </row>
    <row r="13" spans="1:11" ht="28.8">
      <c r="A13" s="86" t="str">
        <f>IF(OR(B13&lt;&gt;"",D13&lt;&gt;""),"["&amp;TEXT($B$2,"##")&amp;"-"&amp;TEXT(ROW()-11,"##")&amp;"]","")</f>
        <v>[Module3-2]</v>
      </c>
      <c r="B13" s="129" t="s">
        <v>116</v>
      </c>
      <c r="C13" s="130" t="s">
        <v>117</v>
      </c>
      <c r="D13" s="132" t="s">
        <v>118</v>
      </c>
      <c r="E13" s="129" t="s">
        <v>88</v>
      </c>
      <c r="F13" s="129" t="s">
        <v>29</v>
      </c>
      <c r="G13" s="89"/>
      <c r="H13" s="90"/>
      <c r="I13" s="91"/>
    </row>
    <row r="14" spans="1:11">
      <c r="F14" s="94"/>
      <c r="I14" s="85"/>
      <c r="J14" s="66"/>
      <c r="K14" s="66"/>
    </row>
    <row r="15" spans="1:11">
      <c r="F15" s="95"/>
      <c r="I15" s="87"/>
    </row>
  </sheetData>
  <autoFilter ref="A8:H13" xr:uid="{00000000-0009-0000-0000-000004000000}"/>
  <mergeCells count="5">
    <mergeCell ref="B2:F2"/>
    <mergeCell ref="B3:F3"/>
    <mergeCell ref="B4:F4"/>
    <mergeCell ref="E5:F5"/>
    <mergeCell ref="E6:F6"/>
  </mergeCells>
  <dataValidations count="1">
    <dataValidation type="list" allowBlank="1" showErrorMessage="1" sqref="F1:F3 F14:F142 F7:F8" xr:uid="{00000000-0002-0000-0400-000000000000}">
      <formula1>$J$2:$J$6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workbookViewId="0">
      <selection activeCell="C6" sqref="C6:H6"/>
    </sheetView>
  </sheetViews>
  <sheetFormatPr defaultColWidth="9" defaultRowHeight="13.2"/>
  <cols>
    <col min="1" max="1" width="9" style="8"/>
    <col min="2" max="2" width="16.21875" style="8" bestFit="1" customWidth="1"/>
    <col min="3" max="3" width="19.33203125" style="8" customWidth="1"/>
    <col min="4" max="7" width="9" style="8"/>
    <col min="8" max="9" width="33.109375" style="8" customWidth="1"/>
    <col min="10" max="16384" width="9" style="8"/>
  </cols>
  <sheetData>
    <row r="1" spans="1:8" ht="25.5" customHeight="1">
      <c r="B1" s="147" t="s">
        <v>41</v>
      </c>
      <c r="C1" s="147"/>
      <c r="D1" s="147"/>
      <c r="E1" s="147"/>
      <c r="F1" s="147"/>
      <c r="G1" s="147"/>
      <c r="H1" s="147"/>
    </row>
    <row r="2" spans="1:8" ht="14.25" customHeight="1">
      <c r="A2" s="96"/>
      <c r="B2" s="96"/>
      <c r="C2" s="97"/>
      <c r="D2" s="97"/>
      <c r="E2" s="97"/>
      <c r="F2" s="97"/>
      <c r="G2" s="97"/>
      <c r="H2" s="98"/>
    </row>
    <row r="3" spans="1:8" ht="12" customHeight="1">
      <c r="B3" s="11" t="s">
        <v>1</v>
      </c>
      <c r="C3" s="140" t="s">
        <v>49</v>
      </c>
      <c r="D3" s="140"/>
      <c r="E3" s="145" t="s">
        <v>2</v>
      </c>
      <c r="F3" s="145"/>
      <c r="G3" s="99"/>
      <c r="H3" s="100" t="s">
        <v>59</v>
      </c>
    </row>
    <row r="4" spans="1:8" ht="12" customHeight="1">
      <c r="B4" s="11" t="s">
        <v>3</v>
      </c>
      <c r="C4" s="140" t="s">
        <v>50</v>
      </c>
      <c r="D4" s="140"/>
      <c r="E4" s="145" t="s">
        <v>4</v>
      </c>
      <c r="F4" s="145"/>
      <c r="G4" s="99"/>
      <c r="H4" s="100" t="s">
        <v>60</v>
      </c>
    </row>
    <row r="5" spans="1:8" ht="12" customHeight="1">
      <c r="B5" s="101" t="s">
        <v>5</v>
      </c>
      <c r="C5" s="140" t="str">
        <f>C4&amp;"_"&amp;"DateTimeCheckrt"&amp;"_"&amp;"v0.1"</f>
        <v>FU-SWT_DateTimeCheckrt_v0.1</v>
      </c>
      <c r="D5" s="140"/>
      <c r="E5" s="145" t="s">
        <v>6</v>
      </c>
      <c r="F5" s="145"/>
      <c r="G5" s="99"/>
      <c r="H5" s="131">
        <v>45810</v>
      </c>
    </row>
    <row r="6" spans="1:8" ht="21.75" customHeight="1">
      <c r="A6" s="96"/>
      <c r="B6" s="101" t="s">
        <v>42</v>
      </c>
      <c r="C6" s="146" t="s">
        <v>95</v>
      </c>
      <c r="D6" s="146"/>
      <c r="E6" s="146"/>
      <c r="F6" s="146"/>
      <c r="G6" s="146"/>
      <c r="H6" s="146"/>
    </row>
    <row r="7" spans="1:8" ht="14.25" customHeight="1">
      <c r="A7" s="96"/>
      <c r="B7" s="102"/>
      <c r="C7" s="103"/>
      <c r="D7" s="97"/>
      <c r="E7" s="97"/>
      <c r="F7" s="97"/>
      <c r="G7" s="97"/>
      <c r="H7" s="98"/>
    </row>
    <row r="8" spans="1:8">
      <c r="B8" s="102"/>
      <c r="C8" s="103"/>
      <c r="D8" s="97"/>
      <c r="E8" s="97"/>
      <c r="F8" s="97"/>
      <c r="G8" s="97"/>
      <c r="H8" s="98"/>
    </row>
    <row r="9" spans="1:8">
      <c r="A9" s="104"/>
      <c r="B9" s="104"/>
      <c r="C9" s="104"/>
      <c r="D9" s="104"/>
      <c r="E9" s="104"/>
      <c r="F9" s="104"/>
      <c r="G9" s="104"/>
      <c r="H9" s="104"/>
    </row>
    <row r="10" spans="1:8">
      <c r="A10" s="105"/>
      <c r="B10" s="106" t="s">
        <v>16</v>
      </c>
      <c r="C10" s="107" t="s">
        <v>43</v>
      </c>
      <c r="D10" s="108" t="s">
        <v>25</v>
      </c>
      <c r="E10" s="107" t="s">
        <v>27</v>
      </c>
      <c r="F10" s="107" t="s">
        <v>29</v>
      </c>
      <c r="G10" s="109" t="s">
        <v>30</v>
      </c>
      <c r="H10" s="110" t="s">
        <v>44</v>
      </c>
    </row>
    <row r="11" spans="1:8">
      <c r="A11" s="111"/>
      <c r="B11" s="112">
        <v>1</v>
      </c>
      <c r="C11" s="113" t="str">
        <f>Module1!B2</f>
        <v>Module1</v>
      </c>
      <c r="D11" s="114">
        <f>Module1!A6</f>
        <v>1</v>
      </c>
      <c r="E11" s="114">
        <f>Module1!B6</f>
        <v>0</v>
      </c>
      <c r="F11" s="114">
        <f>Module1!C6</f>
        <v>4</v>
      </c>
      <c r="G11" s="115">
        <f>Module1!D6</f>
        <v>0</v>
      </c>
      <c r="H11" s="116">
        <f>Module1!E6</f>
        <v>5</v>
      </c>
    </row>
    <row r="12" spans="1:8">
      <c r="A12" s="111"/>
      <c r="B12" s="112">
        <v>2</v>
      </c>
      <c r="C12" s="113" t="str">
        <f>Module2!B2</f>
        <v>Module2</v>
      </c>
      <c r="D12" s="114">
        <f>Module2!A6</f>
        <v>4</v>
      </c>
      <c r="E12" s="114">
        <f>Module2!B6</f>
        <v>0</v>
      </c>
      <c r="F12" s="114">
        <f>Module2!C6</f>
        <v>1</v>
      </c>
      <c r="G12" s="115">
        <f>Module2!D6</f>
        <v>0</v>
      </c>
      <c r="H12" s="116">
        <f>Module2!E6</f>
        <v>5</v>
      </c>
    </row>
    <row r="13" spans="1:8">
      <c r="A13" s="111"/>
      <c r="B13" s="112">
        <v>3</v>
      </c>
      <c r="C13" s="113" t="str">
        <f>Module3!B2</f>
        <v>Module3</v>
      </c>
      <c r="D13" s="114">
        <f>Module3!A6</f>
        <v>2</v>
      </c>
      <c r="E13" s="114">
        <f>Module3!B6</f>
        <v>0</v>
      </c>
      <c r="F13" s="114">
        <f>Module2!C7</f>
        <v>0</v>
      </c>
      <c r="G13" s="115">
        <f>Module2!D7</f>
        <v>0</v>
      </c>
      <c r="H13" s="116">
        <f>Module2!E7</f>
        <v>0</v>
      </c>
    </row>
    <row r="14" spans="1:8">
      <c r="A14" s="111"/>
      <c r="B14" s="117"/>
      <c r="C14" s="118" t="s">
        <v>45</v>
      </c>
      <c r="D14" s="119">
        <f>SUM(D9:D13)</f>
        <v>7</v>
      </c>
      <c r="E14" s="119">
        <f>SUM(E9:E13)</f>
        <v>0</v>
      </c>
      <c r="F14" s="119">
        <f>SUM(F9:F13)</f>
        <v>5</v>
      </c>
      <c r="G14" s="119">
        <f>SUM(G9:G13)</f>
        <v>0</v>
      </c>
      <c r="H14" s="120">
        <f>SUM(H9:H13)</f>
        <v>10</v>
      </c>
    </row>
    <row r="15" spans="1:8">
      <c r="A15" s="104"/>
      <c r="B15" s="121"/>
      <c r="C15" s="104"/>
      <c r="D15" s="122"/>
      <c r="E15" s="123"/>
      <c r="F15" s="123"/>
      <c r="G15" s="123"/>
      <c r="H15" s="123"/>
    </row>
    <row r="16" spans="1:8">
      <c r="A16" s="104"/>
      <c r="B16" s="104"/>
      <c r="C16" s="124" t="s">
        <v>46</v>
      </c>
      <c r="D16" s="104"/>
      <c r="E16" s="125">
        <f>(D14+E14)*100/(H14-G14)</f>
        <v>70</v>
      </c>
      <c r="F16" s="104" t="s">
        <v>47</v>
      </c>
      <c r="G16" s="104"/>
      <c r="H16" s="78"/>
    </row>
    <row r="17" spans="1:8">
      <c r="A17" s="104"/>
      <c r="B17" s="104"/>
      <c r="C17" s="124" t="s">
        <v>48</v>
      </c>
      <c r="D17" s="104"/>
      <c r="E17" s="125">
        <f>D14*100/(H14-G14)</f>
        <v>70</v>
      </c>
      <c r="F17" s="104" t="s">
        <v>47</v>
      </c>
      <c r="G17" s="104"/>
      <c r="H17" s="78"/>
    </row>
    <row r="18" spans="1:8">
      <c r="C18" s="104"/>
      <c r="D18" s="104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Test case List</vt:lpstr>
      <vt:lpstr>Module1</vt:lpstr>
      <vt:lpstr>Module2</vt:lpstr>
      <vt:lpstr>Module3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THINKPAD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Acs Toàn</cp:lastModifiedBy>
  <dcterms:created xsi:type="dcterms:W3CDTF">2025-06-02T13:52:56Z</dcterms:created>
  <dcterms:modified xsi:type="dcterms:W3CDTF">2025-07-20T08:13:20Z</dcterms:modified>
</cp:coreProperties>
</file>